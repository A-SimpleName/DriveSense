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rive Sense\Dokumentation\Organisation\"/>
    </mc:Choice>
  </mc:AlternateContent>
  <xr:revisionPtr revIDLastSave="0" documentId="13_ncr:1_{C6DC6345-0457-4547-9FFF-79A24C9D58E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ufwandsschätzung" sheetId="1" r:id="rId1"/>
  </sheets>
  <definedNames>
    <definedName name="_xlnm.Print_Area" localSheetId="0">Aufwandsschätzung!$A$1:$J$49</definedName>
    <definedName name="_xlnm.Print_Titles" localSheetId="0">Aufwandsschätzung!$1:$1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I62" i="1" s="1"/>
  <c r="J62" i="1" s="1"/>
  <c r="G61" i="1"/>
  <c r="G60" i="1" s="1"/>
  <c r="F60" i="1"/>
  <c r="E60" i="1"/>
  <c r="D60" i="1"/>
  <c r="C60" i="1"/>
  <c r="G59" i="1"/>
  <c r="I59" i="1" s="1"/>
  <c r="J59" i="1" s="1"/>
  <c r="G58" i="1"/>
  <c r="G54" i="1" s="1"/>
  <c r="I54" i="1" s="1"/>
  <c r="J54" i="1" s="1"/>
  <c r="G57" i="1"/>
  <c r="I57" i="1" s="1"/>
  <c r="J57" i="1" s="1"/>
  <c r="G56" i="1"/>
  <c r="I56" i="1" s="1"/>
  <c r="J56" i="1" s="1"/>
  <c r="G55" i="1"/>
  <c r="I55" i="1" s="1"/>
  <c r="J55" i="1" s="1"/>
  <c r="F54" i="1"/>
  <c r="E54" i="1"/>
  <c r="D54" i="1"/>
  <c r="C54" i="1"/>
  <c r="G53" i="1"/>
  <c r="I53" i="1" s="1"/>
  <c r="J53" i="1" s="1"/>
  <c r="G52" i="1"/>
  <c r="I52" i="1" s="1"/>
  <c r="J52" i="1" s="1"/>
  <c r="I51" i="1"/>
  <c r="J51" i="1" s="1"/>
  <c r="G51" i="1"/>
  <c r="I50" i="1"/>
  <c r="J50" i="1" s="1"/>
  <c r="G50" i="1"/>
  <c r="G49" i="1"/>
  <c r="I49" i="1" s="1"/>
  <c r="J49" i="1" s="1"/>
  <c r="G48" i="1"/>
  <c r="I48" i="1" s="1"/>
  <c r="J48" i="1" s="1"/>
  <c r="F47" i="1"/>
  <c r="E47" i="1"/>
  <c r="E45" i="1" s="1"/>
  <c r="D47" i="1"/>
  <c r="D45" i="1" s="1"/>
  <c r="C47" i="1"/>
  <c r="G47" i="1" s="1"/>
  <c r="I47" i="1" s="1"/>
  <c r="J47" i="1" s="1"/>
  <c r="G46" i="1"/>
  <c r="I46" i="1" s="1"/>
  <c r="J46" i="1" s="1"/>
  <c r="F45" i="1"/>
  <c r="C45" i="1"/>
  <c r="G44" i="1"/>
  <c r="I44" i="1" s="1"/>
  <c r="J44" i="1" s="1"/>
  <c r="G43" i="1"/>
  <c r="I43" i="1" s="1"/>
  <c r="J43" i="1" s="1"/>
  <c r="G42" i="1"/>
  <c r="I42" i="1" s="1"/>
  <c r="J42" i="1" s="1"/>
  <c r="G41" i="1"/>
  <c r="I41" i="1" s="1"/>
  <c r="J41" i="1" s="1"/>
  <c r="G40" i="1"/>
  <c r="I40" i="1" s="1"/>
  <c r="J40" i="1" s="1"/>
  <c r="F39" i="1"/>
  <c r="F35" i="1" s="1"/>
  <c r="E39" i="1"/>
  <c r="E35" i="1" s="1"/>
  <c r="D39" i="1"/>
  <c r="D35" i="1" s="1"/>
  <c r="C39" i="1"/>
  <c r="G38" i="1"/>
  <c r="I38" i="1" s="1"/>
  <c r="J38" i="1" s="1"/>
  <c r="G37" i="1"/>
  <c r="I37" i="1" s="1"/>
  <c r="J37" i="1" s="1"/>
  <c r="G36" i="1"/>
  <c r="I36" i="1" s="1"/>
  <c r="J36" i="1" s="1"/>
  <c r="C35" i="1"/>
  <c r="G34" i="1"/>
  <c r="I34" i="1" s="1"/>
  <c r="J34" i="1" s="1"/>
  <c r="G33" i="1"/>
  <c r="I33" i="1" s="1"/>
  <c r="J33" i="1" s="1"/>
  <c r="J32" i="1"/>
  <c r="I32" i="1"/>
  <c r="G32" i="1"/>
  <c r="I31" i="1"/>
  <c r="J31" i="1" s="1"/>
  <c r="G31" i="1"/>
  <c r="F30" i="1"/>
  <c r="E30" i="1"/>
  <c r="D30" i="1"/>
  <c r="C30" i="1"/>
  <c r="C27" i="1" s="1"/>
  <c r="G29" i="1"/>
  <c r="I29" i="1" s="1"/>
  <c r="J29" i="1" s="1"/>
  <c r="G28" i="1"/>
  <c r="I28" i="1" s="1"/>
  <c r="J28" i="1" s="1"/>
  <c r="F27" i="1"/>
  <c r="E27" i="1"/>
  <c r="E26" i="1" s="1"/>
  <c r="E25" i="1" s="1"/>
  <c r="D27" i="1"/>
  <c r="D26" i="1" s="1"/>
  <c r="D25" i="1" s="1"/>
  <c r="G24" i="1"/>
  <c r="I24" i="1" s="1"/>
  <c r="J24" i="1" s="1"/>
  <c r="G23" i="1"/>
  <c r="I23" i="1" s="1"/>
  <c r="J23" i="1" s="1"/>
  <c r="G22" i="1"/>
  <c r="I22" i="1" s="1"/>
  <c r="J22" i="1" s="1"/>
  <c r="G21" i="1"/>
  <c r="I21" i="1" s="1"/>
  <c r="J21" i="1" s="1"/>
  <c r="G20" i="1"/>
  <c r="I20" i="1" s="1"/>
  <c r="J20" i="1" s="1"/>
  <c r="F19" i="1"/>
  <c r="E19" i="1"/>
  <c r="D19" i="1"/>
  <c r="C19" i="1"/>
  <c r="G18" i="1"/>
  <c r="I18" i="1" s="1"/>
  <c r="J18" i="1" s="1"/>
  <c r="G17" i="1"/>
  <c r="I17" i="1" s="1"/>
  <c r="J17" i="1" s="1"/>
  <c r="G16" i="1"/>
  <c r="G15" i="1" s="1"/>
  <c r="I15" i="1" s="1"/>
  <c r="J15" i="1" s="1"/>
  <c r="F15" i="1"/>
  <c r="E15" i="1"/>
  <c r="D15" i="1"/>
  <c r="C15" i="1"/>
  <c r="G14" i="1"/>
  <c r="I14" i="1" s="1"/>
  <c r="J14" i="1" s="1"/>
  <c r="G13" i="1"/>
  <c r="I13" i="1" s="1"/>
  <c r="J13" i="1" s="1"/>
  <c r="G12" i="1"/>
  <c r="I12" i="1" s="1"/>
  <c r="J12" i="1" s="1"/>
  <c r="I11" i="1"/>
  <c r="J11" i="1" s="1"/>
  <c r="G11" i="1"/>
  <c r="G10" i="1"/>
  <c r="I10" i="1" s="1"/>
  <c r="J10" i="1" s="1"/>
  <c r="F9" i="1"/>
  <c r="E9" i="1"/>
  <c r="D9" i="1"/>
  <c r="C9" i="1"/>
  <c r="G8" i="1"/>
  <c r="I8" i="1" s="1"/>
  <c r="J8" i="1" s="1"/>
  <c r="G7" i="1"/>
  <c r="I7" i="1" s="1"/>
  <c r="J7" i="1" s="1"/>
  <c r="G6" i="1"/>
  <c r="I6" i="1" s="1"/>
  <c r="J6" i="1" s="1"/>
  <c r="G5" i="1"/>
  <c r="I5" i="1" s="1"/>
  <c r="J5" i="1" s="1"/>
  <c r="G4" i="1"/>
  <c r="I4" i="1" s="1"/>
  <c r="J4" i="1" s="1"/>
  <c r="G3" i="1"/>
  <c r="I3" i="1" s="1"/>
  <c r="J3" i="1" s="1"/>
  <c r="G2" i="1"/>
  <c r="I2" i="1" s="1"/>
  <c r="J2" i="1" s="1"/>
  <c r="F2" i="1"/>
  <c r="E2" i="1"/>
  <c r="D2" i="1"/>
  <c r="C2" i="1"/>
  <c r="F26" i="1" l="1"/>
  <c r="F25" i="1" s="1"/>
  <c r="C26" i="1"/>
  <c r="G27" i="1"/>
  <c r="I27" i="1" s="1"/>
  <c r="J27" i="1" s="1"/>
  <c r="D63" i="1"/>
  <c r="F63" i="1"/>
  <c r="G35" i="1"/>
  <c r="I35" i="1" s="1"/>
  <c r="J35" i="1" s="1"/>
  <c r="G45" i="1"/>
  <c r="I45" i="1" s="1"/>
  <c r="J45" i="1" s="1"/>
  <c r="I60" i="1"/>
  <c r="J60" i="1" s="1"/>
  <c r="E63" i="1"/>
  <c r="I61" i="1"/>
  <c r="J61" i="1" s="1"/>
  <c r="G9" i="1"/>
  <c r="I9" i="1" s="1"/>
  <c r="J9" i="1" s="1"/>
  <c r="G30" i="1"/>
  <c r="I30" i="1" s="1"/>
  <c r="J30" i="1" s="1"/>
  <c r="G19" i="1"/>
  <c r="I19" i="1" s="1"/>
  <c r="J19" i="1" s="1"/>
  <c r="I58" i="1"/>
  <c r="J58" i="1" s="1"/>
  <c r="G39" i="1"/>
  <c r="I39" i="1" s="1"/>
  <c r="J39" i="1" s="1"/>
  <c r="I16" i="1"/>
  <c r="J16" i="1" s="1"/>
  <c r="C25" i="1" l="1"/>
  <c r="G26" i="1"/>
  <c r="I26" i="1" s="1"/>
  <c r="J26" i="1" s="1"/>
  <c r="G25" i="1" l="1"/>
  <c r="C63" i="1"/>
  <c r="I25" i="1" l="1"/>
  <c r="J25" i="1" s="1"/>
  <c r="G63" i="1"/>
</calcChain>
</file>

<file path=xl/sharedStrings.xml><?xml version="1.0" encoding="utf-8"?>
<sst xmlns="http://schemas.openxmlformats.org/spreadsheetml/2006/main" count="133" uniqueCount="130">
  <si>
    <t>Ist-Stunden</t>
  </si>
  <si>
    <t>Abweichung (Std.)</t>
  </si>
  <si>
    <t>Abweichung (%)</t>
  </si>
  <si>
    <t>1</t>
  </si>
  <si>
    <t>Projektmanagement</t>
  </si>
  <si>
    <t>1.1</t>
  </si>
  <si>
    <t>Zeitverwaltung mit Clockify aufsetzen</t>
  </si>
  <si>
    <t>1.2</t>
  </si>
  <si>
    <t>Git Repository für Datei- und Versionsverwaltung erstellen</t>
  </si>
  <si>
    <t>1.3</t>
  </si>
  <si>
    <t>Aufgabenverteilung festlegen</t>
  </si>
  <si>
    <t>1.4</t>
  </si>
  <si>
    <t>2</t>
  </si>
  <si>
    <t>Planung</t>
  </si>
  <si>
    <t>2.1</t>
  </si>
  <si>
    <t>Projektstrukturplan erstellen</t>
  </si>
  <si>
    <t>2.2</t>
  </si>
  <si>
    <t>Aufwandsschätzung durchführen</t>
  </si>
  <si>
    <t>2.3</t>
  </si>
  <si>
    <t>Projektdefinition erstellen</t>
  </si>
  <si>
    <t>3</t>
  </si>
  <si>
    <t>Analyse</t>
  </si>
  <si>
    <t>3.1</t>
  </si>
  <si>
    <t>Projektidee diskutieren</t>
  </si>
  <si>
    <t>3.2</t>
  </si>
  <si>
    <t>Funktionsumfang definieren</t>
  </si>
  <si>
    <t>3.3</t>
  </si>
  <si>
    <t>ER-Diagramm für Datenbank erstellen</t>
  </si>
  <si>
    <t>4</t>
  </si>
  <si>
    <t>Design</t>
  </si>
  <si>
    <t>4.1</t>
  </si>
  <si>
    <t>Logo erstellen</t>
  </si>
  <si>
    <t>4.2</t>
  </si>
  <si>
    <t>Farbschema festlegen</t>
  </si>
  <si>
    <t>4.3</t>
  </si>
  <si>
    <t>Benutzeroberfläche skizzieren</t>
  </si>
  <si>
    <t>4.4</t>
  </si>
  <si>
    <t>Datenbankschema erstellen</t>
  </si>
  <si>
    <t>4.5</t>
  </si>
  <si>
    <t>Projektplakat erstellen</t>
  </si>
  <si>
    <t>5</t>
  </si>
  <si>
    <t>Implementierung</t>
  </si>
  <si>
    <t>5.1</t>
  </si>
  <si>
    <t>5.1.1</t>
  </si>
  <si>
    <t>Web-App</t>
  </si>
  <si>
    <t>5.1.1.1</t>
  </si>
  <si>
    <t>Fahrtenübersicht</t>
  </si>
  <si>
    <t>5.1.1.2</t>
  </si>
  <si>
    <t>Exportvorgang</t>
  </si>
  <si>
    <t>5.1.1.3</t>
  </si>
  <si>
    <t>User-Login/Register</t>
  </si>
  <si>
    <t>5.1.2</t>
  </si>
  <si>
    <t>App</t>
  </si>
  <si>
    <t>5.1.2.1</t>
  </si>
  <si>
    <t>5.1.2.2</t>
  </si>
  <si>
    <t>5.1.2.3</t>
  </si>
  <si>
    <t>Fahrten-Tracking mit GPS</t>
  </si>
  <si>
    <t>5.2</t>
  </si>
  <si>
    <t>5.2.1</t>
  </si>
  <si>
    <t>5.2.2</t>
  </si>
  <si>
    <t>6</t>
  </si>
  <si>
    <t>Test</t>
  </si>
  <si>
    <t>6.1</t>
  </si>
  <si>
    <t>6.2</t>
  </si>
  <si>
    <t>6.3</t>
  </si>
  <si>
    <t>6.4</t>
  </si>
  <si>
    <t>7</t>
  </si>
  <si>
    <t>Abschluss</t>
  </si>
  <si>
    <t>7.1</t>
  </si>
  <si>
    <t>Dokumentation schreiben</t>
  </si>
  <si>
    <t>7.2</t>
  </si>
  <si>
    <t>Projekt präsentieren</t>
  </si>
  <si>
    <t>Eric</t>
  </si>
  <si>
    <t>Christof</t>
  </si>
  <si>
    <t>Daniel</t>
  </si>
  <si>
    <t>Niklas</t>
  </si>
  <si>
    <t>1.5</t>
  </si>
  <si>
    <t>Kickoff-Meeting planen und durchführen</t>
  </si>
  <si>
    <t>5.1.2.4</t>
  </si>
  <si>
    <t>5.2.3</t>
  </si>
  <si>
    <t>Abschlussreview durchführen</t>
  </si>
  <si>
    <t>6.5</t>
  </si>
  <si>
    <t>CM-Plan erstellen</t>
  </si>
  <si>
    <t xml:space="preserve">Frontend </t>
  </si>
  <si>
    <t xml:space="preserve">Backend </t>
  </si>
  <si>
    <t>Usability-Test / Nutzertest</t>
  </si>
  <si>
    <t>Integrationstest Backend</t>
  </si>
  <si>
    <t>Funktionstest (Web &amp; App)</t>
  </si>
  <si>
    <t>MySQL Datenbank implementieren</t>
  </si>
  <si>
    <t>Datenaustausch mit WebApp und App ermöglichen</t>
  </si>
  <si>
    <t>Validierung der übergebenen Daten implementieren</t>
  </si>
  <si>
    <t>Bugfixing und Codeoptimierung</t>
  </si>
  <si>
    <t>1.6</t>
  </si>
  <si>
    <t>Entwicklungsumgebungen einrichten</t>
  </si>
  <si>
    <t>2.4</t>
  </si>
  <si>
    <t>Wissen für App Erstellung aneignen</t>
  </si>
  <si>
    <t>Ø Schätzung (Soll-MA-Stunden)</t>
  </si>
  <si>
    <t>Gesamt</t>
  </si>
  <si>
    <t>2.5</t>
  </si>
  <si>
    <t>Zeitplan erstellen mit MS Project</t>
  </si>
  <si>
    <t>Nr.</t>
  </si>
  <si>
    <t>Aufgabenbezeichnung</t>
  </si>
  <si>
    <t>5.1.1.3.1</t>
  </si>
  <si>
    <t>Login-Formular (HTML/CSS) implementieren</t>
  </si>
  <si>
    <t>5.1.1.3.2</t>
  </si>
  <si>
    <t>Register-Formular implementieren</t>
  </si>
  <si>
    <t>5.1.1.3.3</t>
  </si>
  <si>
    <t>Session-/Token-Handling im Browser</t>
  </si>
  <si>
    <t>5.1.1.3.4</t>
  </si>
  <si>
    <t>Fehlerbehandlung &amp; Validierungsmeldungen</t>
  </si>
  <si>
    <t>5.1.2.4.1</t>
  </si>
  <si>
    <t>Login-Screen implementieren</t>
  </si>
  <si>
    <t>5.1.2.4.2</t>
  </si>
  <si>
    <t>Register-Screen implementieren</t>
  </si>
  <si>
    <t>5.1.2.4.3</t>
  </si>
  <si>
    <t>Sichere Token-Speicherung (SecureStorage)</t>
  </si>
  <si>
    <t>5.1.2.4.4</t>
  </si>
  <si>
    <t>Auto-Login / Session-Persistenz</t>
  </si>
  <si>
    <t>5.1.2.4.5</t>
  </si>
  <si>
    <t>Fehlerbehandlung &amp; UX-Feedback</t>
  </si>
  <si>
    <t>5.2.2.1</t>
  </si>
  <si>
    <t>REST-API Endpunkte definieren &amp; dokumentieren</t>
  </si>
  <si>
    <t>5.2.2.2</t>
  </si>
  <si>
    <t>API-Endpunkte für die Web-App implementieren</t>
  </si>
  <si>
    <t>5.2.2.3</t>
  </si>
  <si>
    <t>API-Endpunkte für die App implementieren</t>
  </si>
  <si>
    <t>5.2.2.4</t>
  </si>
  <si>
    <t>JWT / Authentifizierung serverseitig implementieren</t>
  </si>
  <si>
    <t>5.2.2.5</t>
  </si>
  <si>
    <t>API-Tests schreiben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</si>
</sst>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39988402966399123"/>
        <bgColor rgb="FF9999FF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9" fontId="1" fillId="0" borderId="0" xfId="1"/>
    <xf numFmtId="0" fontId="0" fillId="3" borderId="2" xfId="0" applyFill="1" applyBorder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183D6-DB0F-449B-89C5-C88BDFF020C3}" name="Tabelle22" displayName="Tabelle22" ref="A1:J62" totalsRowShown="0">
  <autoFilter ref="A1:J62" xr:uid="{8DD183D6-DB0F-449B-89C5-C88BDFF020C3}"/>
  <tableColumns count="10">
    <tableColumn id="1" xr3:uid="{8E9E6F6C-782A-4F8C-8799-944A24E47CDA}" name="Nr."/>
    <tableColumn id="2" xr3:uid="{475A8BCA-BB53-4CB0-B874-246311335731}" name="Aufgabenbezeichnung"/>
    <tableColumn id="3" xr3:uid="{70420603-B613-4C29-8797-85C845698842}" name="Eric"/>
    <tableColumn id="4" xr3:uid="{DDB561E8-4D15-4123-B1A0-400281A69B16}" name="Christof"/>
    <tableColumn id="5" xr3:uid="{9118E39F-5251-4FFF-AA33-D4B6252CF687}" name="Daniel"/>
    <tableColumn id="6" xr3:uid="{75D1BFFF-944E-493C-9F03-363D6A56E467}" name="Niklas"/>
    <tableColumn id="7" xr3:uid="{054DCE2D-EF46-4CCA-A024-A88E9CC372B2}" name="Ø Schätzung (Soll-MA-Stunden)"/>
    <tableColumn id="8" xr3:uid="{D930034A-04D4-4C9A-B07C-74C6ED92701E}" name="Ist-Stunden"/>
    <tableColumn id="9" xr3:uid="{8522511C-8106-463A-92C8-DE128350C1FB}" name="Abweichung (Std.)"/>
    <tableColumn id="10" xr3:uid="{3C4DAF9C-B97B-4874-83CC-4CA3B6D45A9F}" name="Abweichung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zoomScale="85" zoomScaleNormal="85" workbookViewId="0">
      <selection activeCell="C16" sqref="C16"/>
    </sheetView>
  </sheetViews>
  <sheetFormatPr baseColWidth="10" defaultColWidth="9.140625" defaultRowHeight="15" x14ac:dyDescent="0.25"/>
  <cols>
    <col min="1" max="1" width="9.5703125" customWidth="1"/>
    <col min="2" max="2" width="60" customWidth="1"/>
    <col min="3" max="3" width="26.140625" customWidth="1"/>
    <col min="4" max="6" width="13.5703125" customWidth="1"/>
    <col min="7" max="7" width="25.140625" customWidth="1"/>
    <col min="8" max="8" width="15.85546875" customWidth="1"/>
    <col min="9" max="9" width="13.5703125" customWidth="1"/>
    <col min="10" max="10" width="20.7109375" bestFit="1" customWidth="1"/>
  </cols>
  <sheetData>
    <row r="1" spans="1:10" x14ac:dyDescent="0.25">
      <c r="A1" s="3" t="s">
        <v>100</v>
      </c>
      <c r="B1" s="3" t="s">
        <v>101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96</v>
      </c>
      <c r="H1" s="3" t="s">
        <v>0</v>
      </c>
      <c r="I1" s="3" t="s">
        <v>1</v>
      </c>
      <c r="J1" s="3" t="s">
        <v>2</v>
      </c>
    </row>
    <row r="2" spans="1:10" x14ac:dyDescent="0.25">
      <c r="A2" t="s">
        <v>3</v>
      </c>
      <c r="B2" t="s">
        <v>4</v>
      </c>
      <c r="C2">
        <f>SUM(C3:C8)</f>
        <v>34.5</v>
      </c>
      <c r="D2">
        <f>SUM(D3:D8)</f>
        <v>33</v>
      </c>
      <c r="E2">
        <f>SUM(E3:E8)</f>
        <v>36.5</v>
      </c>
      <c r="F2">
        <f>SUM(F3:F8)</f>
        <v>30</v>
      </c>
      <c r="G2">
        <f>AVERAGE(Tabelle22[[#This Row],[Niklas]]:Tabelle22[[#This Row],[Eric]])</f>
        <v>33.5</v>
      </c>
      <c r="I2">
        <f>Tabelle22[[#This Row],[Ist-Stunden]]-Tabelle22[[#This Row],[Ø Schätzung (Soll-MA-Stunden)]]</f>
        <v>-33.5</v>
      </c>
      <c r="J2">
        <f>Tabelle22[[#This Row],[Abweichung (Std.)]]</f>
        <v>-33.5</v>
      </c>
    </row>
    <row r="3" spans="1:10" x14ac:dyDescent="0.25">
      <c r="A3" t="s">
        <v>5</v>
      </c>
      <c r="B3" t="s">
        <v>6</v>
      </c>
      <c r="C3">
        <v>2.5</v>
      </c>
      <c r="D3">
        <v>2.5</v>
      </c>
      <c r="E3">
        <v>2.5</v>
      </c>
      <c r="F3">
        <v>2.5</v>
      </c>
      <c r="G3">
        <f>AVERAGE(Tabelle22[[#This Row],[Niklas]]:Tabelle22[[#This Row],[Eric]])</f>
        <v>2.5</v>
      </c>
      <c r="H3">
        <v>0.79</v>
      </c>
      <c r="I3">
        <f>Tabelle22[[#This Row],[Ist-Stunden]]-Tabelle22[[#This Row],[Ø Schätzung (Soll-MA-Stunden)]]</f>
        <v>-1.71</v>
      </c>
      <c r="J3" s="4">
        <f>Tabelle22[[#This Row],[Abweichung (Std.)]]</f>
        <v>-1.71</v>
      </c>
    </row>
    <row r="4" spans="1:10" x14ac:dyDescent="0.25">
      <c r="A4" t="s">
        <v>7</v>
      </c>
      <c r="B4" t="s">
        <v>8</v>
      </c>
      <c r="C4">
        <v>6</v>
      </c>
      <c r="D4">
        <v>8</v>
      </c>
      <c r="E4">
        <v>7</v>
      </c>
      <c r="F4">
        <v>4</v>
      </c>
      <c r="G4">
        <f>AVERAGE(Tabelle22[[#This Row],[Niklas]]:Tabelle22[[#This Row],[Eric]])</f>
        <v>6.25</v>
      </c>
      <c r="I4">
        <f>Tabelle22[[#This Row],[Ist-Stunden]]-Tabelle22[[#This Row],[Ø Schätzung (Soll-MA-Stunden)]]</f>
        <v>-6.25</v>
      </c>
      <c r="J4">
        <f>Tabelle22[[#This Row],[Abweichung (Std.)]]</f>
        <v>-6.25</v>
      </c>
    </row>
    <row r="5" spans="1:10" x14ac:dyDescent="0.25">
      <c r="A5" s="1" t="s">
        <v>9</v>
      </c>
      <c r="B5" t="s">
        <v>93</v>
      </c>
      <c r="C5">
        <v>7</v>
      </c>
      <c r="D5">
        <v>6</v>
      </c>
      <c r="E5">
        <v>7</v>
      </c>
      <c r="F5">
        <v>6</v>
      </c>
      <c r="G5">
        <f>AVERAGE(Tabelle22[[#This Row],[Niklas]]:Tabelle22[[#This Row],[Eric]])</f>
        <v>6.5</v>
      </c>
      <c r="H5">
        <v>4.76</v>
      </c>
      <c r="I5">
        <f>Tabelle22[[#This Row],[Ist-Stunden]]-Tabelle22[[#This Row],[Ø Schätzung (Soll-MA-Stunden)]]</f>
        <v>-1.7400000000000002</v>
      </c>
      <c r="J5">
        <f>Tabelle22[[#This Row],[Abweichung (Std.)]]</f>
        <v>-1.7400000000000002</v>
      </c>
    </row>
    <row r="6" spans="1:10" x14ac:dyDescent="0.25">
      <c r="A6" s="1" t="s">
        <v>11</v>
      </c>
      <c r="B6" t="s">
        <v>10</v>
      </c>
      <c r="C6">
        <v>2</v>
      </c>
      <c r="D6">
        <v>2.5</v>
      </c>
      <c r="E6">
        <v>1</v>
      </c>
      <c r="F6">
        <v>2.5</v>
      </c>
      <c r="G6">
        <f>AVERAGE(Tabelle22[[#This Row],[Niklas]]:Tabelle22[[#This Row],[Eric]])</f>
        <v>2</v>
      </c>
      <c r="I6">
        <f>Tabelle22[[#This Row],[Ist-Stunden]]-Tabelle22[[#This Row],[Ø Schätzung (Soll-MA-Stunden)]]</f>
        <v>-2</v>
      </c>
      <c r="J6">
        <f>Tabelle22[[#This Row],[Abweichung (Std.)]]</f>
        <v>-2</v>
      </c>
    </row>
    <row r="7" spans="1:10" x14ac:dyDescent="0.25">
      <c r="A7" s="1" t="s">
        <v>76</v>
      </c>
      <c r="B7" t="s">
        <v>82</v>
      </c>
      <c r="C7">
        <v>7</v>
      </c>
      <c r="D7">
        <v>6</v>
      </c>
      <c r="E7">
        <v>7</v>
      </c>
      <c r="F7">
        <v>6</v>
      </c>
      <c r="G7">
        <f>AVERAGE(Tabelle22[[#This Row],[Niklas]]:Tabelle22[[#This Row],[Eric]])</f>
        <v>6.5</v>
      </c>
      <c r="H7">
        <v>3.56</v>
      </c>
      <c r="I7">
        <f>Tabelle22[[#This Row],[Ist-Stunden]]-Tabelle22[[#This Row],[Ø Schätzung (Soll-MA-Stunden)]]</f>
        <v>-2.94</v>
      </c>
      <c r="J7">
        <f>Tabelle22[[#This Row],[Abweichung (Std.)]]</f>
        <v>-2.94</v>
      </c>
    </row>
    <row r="8" spans="1:10" x14ac:dyDescent="0.25">
      <c r="A8" s="1" t="s">
        <v>92</v>
      </c>
      <c r="B8" t="s">
        <v>77</v>
      </c>
      <c r="C8">
        <v>10</v>
      </c>
      <c r="D8">
        <v>8</v>
      </c>
      <c r="E8">
        <v>12</v>
      </c>
      <c r="F8">
        <v>9</v>
      </c>
      <c r="G8">
        <f>AVERAGE(Tabelle22[[#This Row],[Niklas]]:Tabelle22[[#This Row],[Eric]])</f>
        <v>9.75</v>
      </c>
      <c r="I8">
        <f>Tabelle22[[#This Row],[Ist-Stunden]]-Tabelle22[[#This Row],[Ø Schätzung (Soll-MA-Stunden)]]</f>
        <v>-9.75</v>
      </c>
      <c r="J8">
        <f>Tabelle22[[#This Row],[Abweichung (Std.)]]</f>
        <v>-9.75</v>
      </c>
    </row>
    <row r="9" spans="1:10" x14ac:dyDescent="0.25">
      <c r="A9" s="2" t="s">
        <v>12</v>
      </c>
      <c r="B9" s="2" t="s">
        <v>13</v>
      </c>
      <c r="C9" s="2">
        <f>SUM(C10:C14)</f>
        <v>61</v>
      </c>
      <c r="D9" s="2">
        <f>SUM(D10:D14)</f>
        <v>59</v>
      </c>
      <c r="E9" s="2">
        <f>SUM(E10:E14)</f>
        <v>64</v>
      </c>
      <c r="F9" s="2">
        <f>SUM(F10:F14)</f>
        <v>59</v>
      </c>
      <c r="G9" s="2">
        <f>SUM(G10:G14)</f>
        <v>60.75</v>
      </c>
      <c r="H9" s="2"/>
      <c r="I9" s="2">
        <f>Tabelle22[[#This Row],[Ist-Stunden]]-Tabelle22[[#This Row],[Ø Schätzung (Soll-MA-Stunden)]]</f>
        <v>-60.75</v>
      </c>
      <c r="J9" s="2">
        <f>Tabelle22[[#This Row],[Abweichung (Std.)]]</f>
        <v>-60.75</v>
      </c>
    </row>
    <row r="10" spans="1:10" x14ac:dyDescent="0.25">
      <c r="A10" t="s">
        <v>14</v>
      </c>
      <c r="B10" t="s">
        <v>15</v>
      </c>
      <c r="C10">
        <v>14</v>
      </c>
      <c r="D10">
        <v>14</v>
      </c>
      <c r="E10">
        <v>14</v>
      </c>
      <c r="F10">
        <v>15</v>
      </c>
      <c r="G10">
        <f>AVERAGE(Tabelle22[[#This Row],[Niklas]]:Tabelle22[[#This Row],[Eric]])</f>
        <v>14.25</v>
      </c>
      <c r="H10">
        <v>11.5</v>
      </c>
      <c r="I10">
        <f>Tabelle22[[#This Row],[Ist-Stunden]]-Tabelle22[[#This Row],[Ø Schätzung (Soll-MA-Stunden)]]</f>
        <v>-2.75</v>
      </c>
      <c r="J10">
        <f>Tabelle22[[#This Row],[Abweichung (Std.)]]</f>
        <v>-2.75</v>
      </c>
    </row>
    <row r="11" spans="1:10" x14ac:dyDescent="0.25">
      <c r="A11" t="s">
        <v>16</v>
      </c>
      <c r="B11" t="s">
        <v>17</v>
      </c>
      <c r="C11">
        <v>7</v>
      </c>
      <c r="D11">
        <v>6</v>
      </c>
      <c r="E11">
        <v>6</v>
      </c>
      <c r="F11">
        <v>7</v>
      </c>
      <c r="G11">
        <f>AVERAGE(Tabelle22[[#This Row],[Niklas]]:Tabelle22[[#This Row],[Eric]])</f>
        <v>6.5</v>
      </c>
      <c r="H11">
        <v>9.5</v>
      </c>
      <c r="I11">
        <f>Tabelle22[[#This Row],[Ist-Stunden]]-Tabelle22[[#This Row],[Ø Schätzung (Soll-MA-Stunden)]]</f>
        <v>3</v>
      </c>
      <c r="J11">
        <f>Tabelle22[[#This Row],[Abweichung (Std.)]]</f>
        <v>3</v>
      </c>
    </row>
    <row r="12" spans="1:10" x14ac:dyDescent="0.25">
      <c r="A12" t="s">
        <v>18</v>
      </c>
      <c r="B12" t="s">
        <v>19</v>
      </c>
      <c r="C12">
        <v>14</v>
      </c>
      <c r="D12">
        <v>12</v>
      </c>
      <c r="E12">
        <v>15</v>
      </c>
      <c r="F12">
        <v>16</v>
      </c>
      <c r="G12">
        <f>AVERAGE(Tabelle22[[#This Row],[Niklas]]:Tabelle22[[#This Row],[Eric]])</f>
        <v>14.25</v>
      </c>
      <c r="H12">
        <v>10</v>
      </c>
      <c r="I12">
        <f>Tabelle22[[#This Row],[Ist-Stunden]]-Tabelle22[[#This Row],[Ø Schätzung (Soll-MA-Stunden)]]</f>
        <v>-4.25</v>
      </c>
      <c r="J12">
        <f>Tabelle22[[#This Row],[Abweichung (Std.)]]</f>
        <v>-4.25</v>
      </c>
    </row>
    <row r="13" spans="1:10" x14ac:dyDescent="0.25">
      <c r="A13" s="1" t="s">
        <v>94</v>
      </c>
      <c r="B13" t="s">
        <v>95</v>
      </c>
      <c r="C13">
        <v>20</v>
      </c>
      <c r="D13">
        <v>22</v>
      </c>
      <c r="E13">
        <v>25</v>
      </c>
      <c r="F13">
        <v>18</v>
      </c>
      <c r="G13">
        <f>AVERAGE(Tabelle22[[#This Row],[Niklas]]:Tabelle22[[#This Row],[Eric]])</f>
        <v>21.25</v>
      </c>
      <c r="I13">
        <f>Tabelle22[[#This Row],[Ist-Stunden]]-Tabelle22[[#This Row],[Ø Schätzung (Soll-MA-Stunden)]]</f>
        <v>-21.25</v>
      </c>
      <c r="J13">
        <f>Tabelle22[[#This Row],[Abweichung (Std.)]]</f>
        <v>-21.25</v>
      </c>
    </row>
    <row r="14" spans="1:10" x14ac:dyDescent="0.25">
      <c r="A14" s="1" t="s">
        <v>98</v>
      </c>
      <c r="B14" t="s">
        <v>99</v>
      </c>
      <c r="C14">
        <v>6</v>
      </c>
      <c r="D14">
        <v>5</v>
      </c>
      <c r="E14">
        <v>4</v>
      </c>
      <c r="F14">
        <v>3</v>
      </c>
      <c r="G14">
        <f>AVERAGE(Tabelle22[[#This Row],[Niklas]]:Tabelle22[[#This Row],[Eric]])</f>
        <v>4.5</v>
      </c>
      <c r="H14">
        <v>8.59</v>
      </c>
      <c r="I14">
        <f>Tabelle22[[#This Row],[Ist-Stunden]]-Tabelle22[[#This Row],[Ø Schätzung (Soll-MA-Stunden)]]</f>
        <v>4.09</v>
      </c>
      <c r="J14">
        <f>Tabelle22[[#This Row],[Abweichung (Std.)]]</f>
        <v>4.09</v>
      </c>
    </row>
    <row r="15" spans="1:10" x14ac:dyDescent="0.25">
      <c r="A15" s="2" t="s">
        <v>20</v>
      </c>
      <c r="B15" s="2" t="s">
        <v>21</v>
      </c>
      <c r="C15" s="2">
        <f>SUM(C16:C18)</f>
        <v>10</v>
      </c>
      <c r="D15" s="2">
        <f>SUM(D16:D18)</f>
        <v>10</v>
      </c>
      <c r="E15" s="2">
        <f>SUM(E16:E18)</f>
        <v>10</v>
      </c>
      <c r="F15" s="2">
        <f>SUM(F16:F18)</f>
        <v>10</v>
      </c>
      <c r="G15" s="2">
        <f>SUM(G16:G18)</f>
        <v>10</v>
      </c>
      <c r="H15" s="2"/>
      <c r="I15" s="2">
        <f>Tabelle22[[#This Row],[Ist-Stunden]]-Tabelle22[[#This Row],[Ø Schätzung (Soll-MA-Stunden)]]</f>
        <v>-10</v>
      </c>
      <c r="J15" s="2">
        <f>Tabelle22[[#This Row],[Abweichung (Std.)]]</f>
        <v>-10</v>
      </c>
    </row>
    <row r="16" spans="1:10" x14ac:dyDescent="0.25">
      <c r="A16" t="s">
        <v>22</v>
      </c>
      <c r="B16" t="s">
        <v>23</v>
      </c>
      <c r="C16">
        <v>2.5</v>
      </c>
      <c r="D16">
        <v>3</v>
      </c>
      <c r="E16">
        <v>2.5</v>
      </c>
      <c r="F16">
        <v>3</v>
      </c>
      <c r="G16">
        <f>AVERAGE(Tabelle22[[#This Row],[Niklas]]:Tabelle22[[#This Row],[Eric]])</f>
        <v>2.75</v>
      </c>
      <c r="I16">
        <f>Tabelle22[[#This Row],[Ist-Stunden]]-Tabelle22[[#This Row],[Ø Schätzung (Soll-MA-Stunden)]]</f>
        <v>-2.75</v>
      </c>
      <c r="J16">
        <f>Tabelle22[[#This Row],[Abweichung (Std.)]]</f>
        <v>-2.75</v>
      </c>
    </row>
    <row r="17" spans="1:10" x14ac:dyDescent="0.25">
      <c r="A17" t="s">
        <v>24</v>
      </c>
      <c r="B17" t="s">
        <v>25</v>
      </c>
      <c r="C17">
        <v>2.5</v>
      </c>
      <c r="D17">
        <v>3</v>
      </c>
      <c r="E17">
        <v>2.5</v>
      </c>
      <c r="F17">
        <v>3</v>
      </c>
      <c r="G17">
        <f>AVERAGE(Tabelle22[[#This Row],[Niklas]]:Tabelle22[[#This Row],[Eric]])</f>
        <v>2.75</v>
      </c>
      <c r="I17">
        <f>Tabelle22[[#This Row],[Ist-Stunden]]-Tabelle22[[#This Row],[Ø Schätzung (Soll-MA-Stunden)]]</f>
        <v>-2.75</v>
      </c>
      <c r="J17">
        <f>Tabelle22[[#This Row],[Abweichung (Std.)]]</f>
        <v>-2.75</v>
      </c>
    </row>
    <row r="18" spans="1:10" x14ac:dyDescent="0.25">
      <c r="A18" t="s">
        <v>26</v>
      </c>
      <c r="B18" t="s">
        <v>27</v>
      </c>
      <c r="C18">
        <v>5</v>
      </c>
      <c r="D18">
        <v>4</v>
      </c>
      <c r="E18">
        <v>5</v>
      </c>
      <c r="F18">
        <v>4</v>
      </c>
      <c r="G18">
        <f>AVERAGE(Tabelle22[[#This Row],[Niklas]]:Tabelle22[[#This Row],[Eric]])</f>
        <v>4.5</v>
      </c>
      <c r="I18">
        <f>Tabelle22[[#This Row],[Ist-Stunden]]-Tabelle22[[#This Row],[Ø Schätzung (Soll-MA-Stunden)]]</f>
        <v>-4.5</v>
      </c>
      <c r="J18">
        <f>Tabelle22[[#This Row],[Abweichung (Std.)]]</f>
        <v>-4.5</v>
      </c>
    </row>
    <row r="19" spans="1:10" x14ac:dyDescent="0.25">
      <c r="A19" s="2" t="s">
        <v>28</v>
      </c>
      <c r="B19" s="2" t="s">
        <v>29</v>
      </c>
      <c r="C19" s="2">
        <f>SUM(C20:C24)</f>
        <v>19</v>
      </c>
      <c r="D19" s="2">
        <f>SUM(D20:D24)</f>
        <v>20.5</v>
      </c>
      <c r="E19" s="2">
        <f>SUM(E20:E24)</f>
        <v>16</v>
      </c>
      <c r="F19" s="2">
        <f>SUM(F20:F24)</f>
        <v>17.5</v>
      </c>
      <c r="G19" s="2">
        <f>SUM(G20:G24)</f>
        <v>18.25</v>
      </c>
      <c r="H19" s="2"/>
      <c r="I19" s="2">
        <f>Tabelle22[[#This Row],[Ist-Stunden]]-Tabelle22[[#This Row],[Ø Schätzung (Soll-MA-Stunden)]]</f>
        <v>-18.25</v>
      </c>
      <c r="J19" s="2">
        <f>Tabelle22[[#This Row],[Abweichung (Std.)]]</f>
        <v>-18.25</v>
      </c>
    </row>
    <row r="20" spans="1:10" x14ac:dyDescent="0.25">
      <c r="A20" t="s">
        <v>30</v>
      </c>
      <c r="B20" t="s">
        <v>31</v>
      </c>
      <c r="C20">
        <v>1</v>
      </c>
      <c r="D20">
        <v>2</v>
      </c>
      <c r="E20">
        <v>2</v>
      </c>
      <c r="F20">
        <v>1</v>
      </c>
      <c r="G20">
        <f>AVERAGE(Tabelle22[[#This Row],[Niklas]]:Tabelle22[[#This Row],[Eric]])</f>
        <v>1.5</v>
      </c>
      <c r="H20">
        <v>1.56</v>
      </c>
      <c r="I20">
        <f>Tabelle22[[#This Row],[Ist-Stunden]]-Tabelle22[[#This Row],[Ø Schätzung (Soll-MA-Stunden)]]</f>
        <v>6.0000000000000053E-2</v>
      </c>
      <c r="J20">
        <f>Tabelle22[[#This Row],[Abweichung (Std.)]]</f>
        <v>6.0000000000000053E-2</v>
      </c>
    </row>
    <row r="21" spans="1:10" x14ac:dyDescent="0.25">
      <c r="A21" t="s">
        <v>32</v>
      </c>
      <c r="B21" t="s">
        <v>33</v>
      </c>
      <c r="C21">
        <v>1</v>
      </c>
      <c r="D21">
        <v>0.5</v>
      </c>
      <c r="E21">
        <v>1</v>
      </c>
      <c r="F21">
        <v>0.5</v>
      </c>
      <c r="G21">
        <f>AVERAGE(Tabelle22[[#This Row],[Niklas]]:Tabelle22[[#This Row],[Eric]])</f>
        <v>0.75</v>
      </c>
      <c r="I21">
        <f>Tabelle22[[#This Row],[Ist-Stunden]]-Tabelle22[[#This Row],[Ø Schätzung (Soll-MA-Stunden)]]</f>
        <v>-0.75</v>
      </c>
      <c r="J21">
        <f>Tabelle22[[#This Row],[Abweichung (Std.)]]</f>
        <v>-0.75</v>
      </c>
    </row>
    <row r="22" spans="1:10" x14ac:dyDescent="0.25">
      <c r="A22" t="s">
        <v>34</v>
      </c>
      <c r="B22" t="s">
        <v>35</v>
      </c>
      <c r="C22">
        <v>7</v>
      </c>
      <c r="D22">
        <v>8</v>
      </c>
      <c r="E22">
        <v>5</v>
      </c>
      <c r="F22">
        <v>6</v>
      </c>
      <c r="G22">
        <f>AVERAGE(Tabelle22[[#This Row],[Niklas]]:Tabelle22[[#This Row],[Eric]])</f>
        <v>6.5</v>
      </c>
      <c r="I22">
        <f>Tabelle22[[#This Row],[Ist-Stunden]]-Tabelle22[[#This Row],[Ø Schätzung (Soll-MA-Stunden)]]</f>
        <v>-6.5</v>
      </c>
      <c r="J22">
        <f>Tabelle22[[#This Row],[Abweichung (Std.)]]</f>
        <v>-6.5</v>
      </c>
    </row>
    <row r="23" spans="1:10" x14ac:dyDescent="0.25">
      <c r="A23" t="s">
        <v>36</v>
      </c>
      <c r="B23" t="s">
        <v>37</v>
      </c>
      <c r="C23">
        <v>3</v>
      </c>
      <c r="D23">
        <v>4</v>
      </c>
      <c r="E23">
        <v>3</v>
      </c>
      <c r="F23">
        <v>4</v>
      </c>
      <c r="G23">
        <f>AVERAGE(Tabelle22[[#This Row],[Niklas]]:Tabelle22[[#This Row],[Eric]])</f>
        <v>3.5</v>
      </c>
      <c r="I23">
        <f>Tabelle22[[#This Row],[Ist-Stunden]]-Tabelle22[[#This Row],[Ø Schätzung (Soll-MA-Stunden)]]</f>
        <v>-3.5</v>
      </c>
      <c r="J23">
        <f>Tabelle22[[#This Row],[Abweichung (Std.)]]</f>
        <v>-3.5</v>
      </c>
    </row>
    <row r="24" spans="1:10" x14ac:dyDescent="0.25">
      <c r="A24" t="s">
        <v>38</v>
      </c>
      <c r="B24" t="s">
        <v>39</v>
      </c>
      <c r="C24">
        <v>7</v>
      </c>
      <c r="D24">
        <v>6</v>
      </c>
      <c r="E24">
        <v>5</v>
      </c>
      <c r="F24">
        <v>6</v>
      </c>
      <c r="G24">
        <f>AVERAGE(Tabelle22[[#This Row],[Niklas]]:Tabelle22[[#This Row],[Eric]])</f>
        <v>6</v>
      </c>
      <c r="I24">
        <f>Tabelle22[[#This Row],[Ist-Stunden]]-Tabelle22[[#This Row],[Ø Schätzung (Soll-MA-Stunden)]]</f>
        <v>-6</v>
      </c>
      <c r="J24">
        <f>Tabelle22[[#This Row],[Abweichung (Std.)]]</f>
        <v>-6</v>
      </c>
    </row>
    <row r="25" spans="1:10" x14ac:dyDescent="0.25">
      <c r="A25" s="2" t="s">
        <v>40</v>
      </c>
      <c r="B25" s="2" t="s">
        <v>41</v>
      </c>
      <c r="C25" s="2">
        <f>C26+C45</f>
        <v>209</v>
      </c>
      <c r="D25" s="2">
        <f>D26+D45</f>
        <v>272</v>
      </c>
      <c r="E25" s="2">
        <f>E26+E45</f>
        <v>201</v>
      </c>
      <c r="F25" s="2">
        <f>F26+F45</f>
        <v>254</v>
      </c>
      <c r="G25" s="2">
        <f>AVERAGE(Tabelle22[[#This Row],[Niklas]]:Tabelle22[[#This Row],[Eric]])</f>
        <v>234</v>
      </c>
      <c r="H25" s="2"/>
      <c r="I25" s="2">
        <f>Tabelle22[[#This Row],[Ist-Stunden]]-Tabelle22[[#This Row],[Ø Schätzung (Soll-MA-Stunden)]]</f>
        <v>-234</v>
      </c>
      <c r="J25" s="2">
        <f>Tabelle22[[#This Row],[Abweichung (Std.)]]</f>
        <v>-234</v>
      </c>
    </row>
    <row r="26" spans="1:10" x14ac:dyDescent="0.25">
      <c r="A26" t="s">
        <v>42</v>
      </c>
      <c r="B26" t="s">
        <v>83</v>
      </c>
      <c r="C26">
        <f>C27+C35</f>
        <v>190</v>
      </c>
      <c r="D26">
        <f>D27+D35</f>
        <v>250</v>
      </c>
      <c r="E26">
        <f>E27+E35</f>
        <v>178</v>
      </c>
      <c r="F26">
        <f>F27+F35</f>
        <v>228</v>
      </c>
      <c r="G26">
        <f>AVERAGE(Tabelle22[[#This Row],[Niklas]]:Tabelle22[[#This Row],[Eric]])</f>
        <v>211.5</v>
      </c>
      <c r="I26">
        <f>Tabelle22[[#This Row],[Ist-Stunden]]-Tabelle22[[#This Row],[Ø Schätzung (Soll-MA-Stunden)]]</f>
        <v>-211.5</v>
      </c>
      <c r="J26">
        <f>Tabelle22[[#This Row],[Abweichung (Std.)]]</f>
        <v>-211.5</v>
      </c>
    </row>
    <row r="27" spans="1:10" x14ac:dyDescent="0.25">
      <c r="A27" t="s">
        <v>43</v>
      </c>
      <c r="B27" t="s">
        <v>44</v>
      </c>
      <c r="C27">
        <f>SUM(C28:C30)</f>
        <v>55</v>
      </c>
      <c r="D27">
        <f>SUM(D28:D30)</f>
        <v>66</v>
      </c>
      <c r="E27">
        <f>SUM(E28:E30)</f>
        <v>48</v>
      </c>
      <c r="F27">
        <f>SUM(F28:F30)</f>
        <v>66</v>
      </c>
      <c r="G27">
        <f>AVERAGE(Tabelle22[[#This Row],[Niklas]]:Tabelle22[[#This Row],[Eric]])</f>
        <v>58.75</v>
      </c>
      <c r="I27">
        <f>Tabelle22[[#This Row],[Ist-Stunden]]-Tabelle22[[#This Row],[Ø Schätzung (Soll-MA-Stunden)]]</f>
        <v>-58.75</v>
      </c>
      <c r="J27">
        <f>Tabelle22[[#This Row],[Abweichung (Std.)]]</f>
        <v>-58.75</v>
      </c>
    </row>
    <row r="28" spans="1:10" x14ac:dyDescent="0.25">
      <c r="A28" t="s">
        <v>45</v>
      </c>
      <c r="B28" t="s">
        <v>46</v>
      </c>
      <c r="C28">
        <v>30</v>
      </c>
      <c r="D28">
        <v>45</v>
      </c>
      <c r="E28">
        <v>30</v>
      </c>
      <c r="F28">
        <v>40</v>
      </c>
      <c r="G28">
        <f>AVERAGE(Tabelle22[[#This Row],[Niklas]]:Tabelle22[[#This Row],[Eric]])</f>
        <v>36.25</v>
      </c>
      <c r="I28">
        <f>Tabelle22[[#This Row],[Ist-Stunden]]-Tabelle22[[#This Row],[Ø Schätzung (Soll-MA-Stunden)]]</f>
        <v>-36.25</v>
      </c>
      <c r="J28">
        <f>Tabelle22[[#This Row],[Abweichung (Std.)]]</f>
        <v>-36.25</v>
      </c>
    </row>
    <row r="29" spans="1:10" x14ac:dyDescent="0.25">
      <c r="A29" t="s">
        <v>47</v>
      </c>
      <c r="B29" t="s">
        <v>48</v>
      </c>
      <c r="C29">
        <v>20</v>
      </c>
      <c r="D29">
        <v>16</v>
      </c>
      <c r="E29">
        <v>15</v>
      </c>
      <c r="F29">
        <v>20</v>
      </c>
      <c r="G29">
        <f>AVERAGE(Tabelle22[[#This Row],[Niklas]]:Tabelle22[[#This Row],[Eric]])</f>
        <v>17.75</v>
      </c>
      <c r="I29">
        <f>Tabelle22[[#This Row],[Ist-Stunden]]-Tabelle22[[#This Row],[Ø Schätzung (Soll-MA-Stunden)]]</f>
        <v>-17.75</v>
      </c>
      <c r="J29">
        <f>Tabelle22[[#This Row],[Abweichung (Std.)]]</f>
        <v>-17.75</v>
      </c>
    </row>
    <row r="30" spans="1:10" x14ac:dyDescent="0.25">
      <c r="A30" t="s">
        <v>49</v>
      </c>
      <c r="B30" t="s">
        <v>50</v>
      </c>
      <c r="C30">
        <f>SUM(C31:C34)</f>
        <v>5</v>
      </c>
      <c r="D30">
        <f>SUM(D31:D34)</f>
        <v>5</v>
      </c>
      <c r="E30">
        <f>SUM(E31:E34)</f>
        <v>3</v>
      </c>
      <c r="F30">
        <f>SUM(F31:F34)</f>
        <v>6</v>
      </c>
      <c r="G30">
        <f>AVERAGE(C30:F30)</f>
        <v>4.75</v>
      </c>
      <c r="I30">
        <f>H30-G30</f>
        <v>-4.75</v>
      </c>
      <c r="J30">
        <f>I30</f>
        <v>-4.75</v>
      </c>
    </row>
    <row r="31" spans="1:10" x14ac:dyDescent="0.25">
      <c r="A31" t="s">
        <v>102</v>
      </c>
      <c r="B31" t="s">
        <v>103</v>
      </c>
      <c r="C31">
        <v>1.5</v>
      </c>
      <c r="D31">
        <v>1.5</v>
      </c>
      <c r="E31">
        <v>1</v>
      </c>
      <c r="F31">
        <v>1.5</v>
      </c>
      <c r="G31">
        <f>AVERAGE(C31:F31)</f>
        <v>1.375</v>
      </c>
      <c r="I31">
        <f>H31-G31</f>
        <v>-1.375</v>
      </c>
      <c r="J31">
        <f>I31</f>
        <v>-1.375</v>
      </c>
    </row>
    <row r="32" spans="1:10" x14ac:dyDescent="0.25">
      <c r="A32" t="s">
        <v>104</v>
      </c>
      <c r="B32" t="s">
        <v>105</v>
      </c>
      <c r="C32">
        <v>1.5</v>
      </c>
      <c r="D32">
        <v>1.5</v>
      </c>
      <c r="E32">
        <v>1</v>
      </c>
      <c r="F32">
        <v>2</v>
      </c>
      <c r="G32">
        <f>AVERAGE(C32:F32)</f>
        <v>1.5</v>
      </c>
      <c r="I32">
        <f>H32-G32</f>
        <v>-1.5</v>
      </c>
      <c r="J32">
        <f>I32</f>
        <v>-1.5</v>
      </c>
    </row>
    <row r="33" spans="1:10" x14ac:dyDescent="0.25">
      <c r="A33" t="s">
        <v>106</v>
      </c>
      <c r="B33" t="s">
        <v>107</v>
      </c>
      <c r="C33">
        <v>1</v>
      </c>
      <c r="D33">
        <v>1</v>
      </c>
      <c r="E33">
        <v>0.5</v>
      </c>
      <c r="F33">
        <v>1.5</v>
      </c>
      <c r="G33">
        <f>AVERAGE(C33:F33)</f>
        <v>1</v>
      </c>
      <c r="I33">
        <f>H33-G33</f>
        <v>-1</v>
      </c>
      <c r="J33">
        <f>I33</f>
        <v>-1</v>
      </c>
    </row>
    <row r="34" spans="1:10" x14ac:dyDescent="0.25">
      <c r="A34" t="s">
        <v>108</v>
      </c>
      <c r="B34" t="s">
        <v>109</v>
      </c>
      <c r="C34">
        <v>1</v>
      </c>
      <c r="D34">
        <v>1</v>
      </c>
      <c r="E34">
        <v>0.5</v>
      </c>
      <c r="F34">
        <v>1</v>
      </c>
      <c r="G34">
        <f>AVERAGE(C34:F34)</f>
        <v>0.875</v>
      </c>
      <c r="I34">
        <f>H34-G34</f>
        <v>-0.875</v>
      </c>
      <c r="J34">
        <f>I34</f>
        <v>-0.875</v>
      </c>
    </row>
    <row r="35" spans="1:10" x14ac:dyDescent="0.25">
      <c r="A35" t="s">
        <v>51</v>
      </c>
      <c r="B35" t="s">
        <v>52</v>
      </c>
      <c r="C35">
        <f>SUM(C36:C39)</f>
        <v>135</v>
      </c>
      <c r="D35">
        <f>SUM(D36:D39)</f>
        <v>184</v>
      </c>
      <c r="E35">
        <f>SUM(E36:E39)</f>
        <v>130</v>
      </c>
      <c r="F35">
        <f>SUM(F36:F39)</f>
        <v>162</v>
      </c>
      <c r="G35">
        <f>AVERAGE(Tabelle22[[#This Row],[Niklas]]:Tabelle22[[#This Row],[Eric]])</f>
        <v>152.75</v>
      </c>
      <c r="I35">
        <f>Tabelle22[[#This Row],[Ist-Stunden]]-Tabelle22[[#This Row],[Ø Schätzung (Soll-MA-Stunden)]]</f>
        <v>-152.75</v>
      </c>
      <c r="J35">
        <f>Tabelle22[[#This Row],[Abweichung (Std.)]]</f>
        <v>-152.75</v>
      </c>
    </row>
    <row r="36" spans="1:10" x14ac:dyDescent="0.25">
      <c r="A36" t="s">
        <v>53</v>
      </c>
      <c r="B36" t="s">
        <v>46</v>
      </c>
      <c r="C36">
        <v>45</v>
      </c>
      <c r="D36">
        <v>60</v>
      </c>
      <c r="E36">
        <v>45</v>
      </c>
      <c r="F36">
        <v>60</v>
      </c>
      <c r="G36">
        <f>AVERAGE(Tabelle22[[#This Row],[Niklas]]:Tabelle22[[#This Row],[Eric]])</f>
        <v>52.5</v>
      </c>
      <c r="I36">
        <f>Tabelle22[[#This Row],[Ist-Stunden]]-Tabelle22[[#This Row],[Ø Schätzung (Soll-MA-Stunden)]]</f>
        <v>-52.5</v>
      </c>
      <c r="J36">
        <f>Tabelle22[[#This Row],[Abweichung (Std.)]]</f>
        <v>-52.5</v>
      </c>
    </row>
    <row r="37" spans="1:10" x14ac:dyDescent="0.25">
      <c r="A37" t="s">
        <v>54</v>
      </c>
      <c r="B37" t="s">
        <v>48</v>
      </c>
      <c r="C37">
        <v>12</v>
      </c>
      <c r="D37">
        <v>30</v>
      </c>
      <c r="E37">
        <v>15</v>
      </c>
      <c r="F37">
        <v>25</v>
      </c>
      <c r="G37">
        <f>AVERAGE(Tabelle22[[#This Row],[Niklas]]:Tabelle22[[#This Row],[Eric]])</f>
        <v>20.5</v>
      </c>
      <c r="I37">
        <f>Tabelle22[[#This Row],[Ist-Stunden]]-Tabelle22[[#This Row],[Ø Schätzung (Soll-MA-Stunden)]]</f>
        <v>-20.5</v>
      </c>
      <c r="J37">
        <f>Tabelle22[[#This Row],[Abweichung (Std.)]]</f>
        <v>-20.5</v>
      </c>
    </row>
    <row r="38" spans="1:10" x14ac:dyDescent="0.25">
      <c r="A38" t="s">
        <v>55</v>
      </c>
      <c r="B38" t="s">
        <v>56</v>
      </c>
      <c r="C38">
        <v>75</v>
      </c>
      <c r="D38">
        <v>90</v>
      </c>
      <c r="E38">
        <v>67</v>
      </c>
      <c r="F38">
        <v>75</v>
      </c>
      <c r="G38">
        <f>AVERAGE(Tabelle22[[#This Row],[Niklas]]:Tabelle22[[#This Row],[Eric]])</f>
        <v>76.75</v>
      </c>
      <c r="I38">
        <f>Tabelle22[[#This Row],[Ist-Stunden]]-Tabelle22[[#This Row],[Ø Schätzung (Soll-MA-Stunden)]]</f>
        <v>-76.75</v>
      </c>
      <c r="J38">
        <f>Tabelle22[[#This Row],[Abweichung (Std.)]]</f>
        <v>-76.75</v>
      </c>
    </row>
    <row r="39" spans="1:10" x14ac:dyDescent="0.25">
      <c r="A39" t="s">
        <v>78</v>
      </c>
      <c r="B39" t="s">
        <v>50</v>
      </c>
      <c r="C39">
        <f>SUM(C40:C44)</f>
        <v>3</v>
      </c>
      <c r="D39">
        <f>SUM(D40:D44)</f>
        <v>4</v>
      </c>
      <c r="E39">
        <f>SUM(E40:E44)</f>
        <v>3</v>
      </c>
      <c r="F39">
        <f>SUM(F40:F44)</f>
        <v>2</v>
      </c>
      <c r="G39">
        <f t="shared" ref="G39:G44" si="0">AVERAGE(C39:F39)</f>
        <v>3</v>
      </c>
      <c r="I39">
        <f t="shared" ref="I39:I44" si="1">H39-G39</f>
        <v>-3</v>
      </c>
      <c r="J39">
        <f t="shared" ref="J39:J44" si="2">I39</f>
        <v>-3</v>
      </c>
    </row>
    <row r="40" spans="1:10" x14ac:dyDescent="0.25">
      <c r="A40" t="s">
        <v>110</v>
      </c>
      <c r="B40" t="s">
        <v>111</v>
      </c>
      <c r="C40">
        <v>0.75</v>
      </c>
      <c r="D40">
        <v>1</v>
      </c>
      <c r="E40">
        <v>0.75</v>
      </c>
      <c r="F40">
        <v>0.5</v>
      </c>
      <c r="G40">
        <f t="shared" si="0"/>
        <v>0.75</v>
      </c>
      <c r="I40">
        <f t="shared" si="1"/>
        <v>-0.75</v>
      </c>
      <c r="J40">
        <f t="shared" si="2"/>
        <v>-0.75</v>
      </c>
    </row>
    <row r="41" spans="1:10" x14ac:dyDescent="0.25">
      <c r="A41" t="s">
        <v>112</v>
      </c>
      <c r="B41" t="s">
        <v>113</v>
      </c>
      <c r="C41">
        <v>0.75</v>
      </c>
      <c r="D41">
        <v>1</v>
      </c>
      <c r="E41">
        <v>0.75</v>
      </c>
      <c r="F41">
        <v>0.5</v>
      </c>
      <c r="G41">
        <f t="shared" si="0"/>
        <v>0.75</v>
      </c>
      <c r="I41">
        <f t="shared" si="1"/>
        <v>-0.75</v>
      </c>
      <c r="J41">
        <f t="shared" si="2"/>
        <v>-0.75</v>
      </c>
    </row>
    <row r="42" spans="1:10" x14ac:dyDescent="0.25">
      <c r="A42" t="s">
        <v>114</v>
      </c>
      <c r="B42" t="s">
        <v>115</v>
      </c>
      <c r="C42">
        <v>0.5</v>
      </c>
      <c r="D42">
        <v>0.75</v>
      </c>
      <c r="E42">
        <v>0.5</v>
      </c>
      <c r="F42">
        <v>0.5</v>
      </c>
      <c r="G42">
        <f t="shared" si="0"/>
        <v>0.5625</v>
      </c>
      <c r="I42">
        <f t="shared" si="1"/>
        <v>-0.5625</v>
      </c>
      <c r="J42">
        <f t="shared" si="2"/>
        <v>-0.5625</v>
      </c>
    </row>
    <row r="43" spans="1:10" x14ac:dyDescent="0.25">
      <c r="A43" t="s">
        <v>116</v>
      </c>
      <c r="B43" t="s">
        <v>117</v>
      </c>
      <c r="C43">
        <v>0.5</v>
      </c>
      <c r="D43">
        <v>0.75</v>
      </c>
      <c r="E43">
        <v>0.5</v>
      </c>
      <c r="F43">
        <v>0.25</v>
      </c>
      <c r="G43">
        <f t="shared" si="0"/>
        <v>0.5</v>
      </c>
      <c r="I43">
        <f t="shared" si="1"/>
        <v>-0.5</v>
      </c>
      <c r="J43">
        <f t="shared" si="2"/>
        <v>-0.5</v>
      </c>
    </row>
    <row r="44" spans="1:10" x14ac:dyDescent="0.25">
      <c r="A44" t="s">
        <v>118</v>
      </c>
      <c r="B44" t="s">
        <v>119</v>
      </c>
      <c r="C44">
        <v>0.5</v>
      </c>
      <c r="D44">
        <v>0.5</v>
      </c>
      <c r="E44">
        <v>0.5</v>
      </c>
      <c r="F44">
        <v>0.25</v>
      </c>
      <c r="G44">
        <f t="shared" si="0"/>
        <v>0.4375</v>
      </c>
      <c r="I44">
        <f t="shared" si="1"/>
        <v>-0.4375</v>
      </c>
      <c r="J44">
        <f t="shared" si="2"/>
        <v>-0.4375</v>
      </c>
    </row>
    <row r="45" spans="1:10" x14ac:dyDescent="0.25">
      <c r="A45" t="s">
        <v>57</v>
      </c>
      <c r="B45" t="s">
        <v>84</v>
      </c>
      <c r="C45">
        <f>C46+C47+C53</f>
        <v>19</v>
      </c>
      <c r="D45">
        <f>D46+D47+D53</f>
        <v>22</v>
      </c>
      <c r="E45">
        <f>E46+E47+E53</f>
        <v>23</v>
      </c>
      <c r="F45">
        <f>F46+F47+F53</f>
        <v>26</v>
      </c>
      <c r="G45">
        <f>AVERAGE(Tabelle22[[#This Row],[Niklas]]:Tabelle22[[#This Row],[Eric]])</f>
        <v>22.5</v>
      </c>
      <c r="I45">
        <f>Tabelle22[[#This Row],[Ist-Stunden]]-Tabelle22[[#This Row],[Ø Schätzung (Soll-MA-Stunden)]]</f>
        <v>-22.5</v>
      </c>
      <c r="J45">
        <f>Tabelle22[[#This Row],[Abweichung (Std.)]]</f>
        <v>-22.5</v>
      </c>
    </row>
    <row r="46" spans="1:10" x14ac:dyDescent="0.25">
      <c r="A46" t="s">
        <v>58</v>
      </c>
      <c r="B46" t="s">
        <v>88</v>
      </c>
      <c r="C46">
        <v>6</v>
      </c>
      <c r="D46">
        <v>6</v>
      </c>
      <c r="E46">
        <v>7</v>
      </c>
      <c r="F46">
        <v>8</v>
      </c>
      <c r="G46">
        <f>AVERAGE(Tabelle22[[#This Row],[Niklas]]:Tabelle22[[#This Row],[Eric]])</f>
        <v>6.75</v>
      </c>
      <c r="I46">
        <f>Tabelle22[[#This Row],[Ist-Stunden]]-Tabelle22[[#This Row],[Ø Schätzung (Soll-MA-Stunden)]]</f>
        <v>-6.75</v>
      </c>
      <c r="J46">
        <f>Tabelle22[[#This Row],[Abweichung (Std.)]]</f>
        <v>-6.75</v>
      </c>
    </row>
    <row r="47" spans="1:10" x14ac:dyDescent="0.25">
      <c r="A47" t="s">
        <v>59</v>
      </c>
      <c r="B47" t="s">
        <v>89</v>
      </c>
      <c r="C47">
        <f>SUM(C48:C52)</f>
        <v>7</v>
      </c>
      <c r="D47">
        <f>SUM(D48:D52)</f>
        <v>8</v>
      </c>
      <c r="E47">
        <f>SUM(E48:E52)</f>
        <v>9</v>
      </c>
      <c r="F47">
        <f>SUM(F48:F52)</f>
        <v>9</v>
      </c>
      <c r="G47">
        <f t="shared" ref="G47:G52" si="3">AVERAGE(C47:F47)</f>
        <v>8.25</v>
      </c>
      <c r="I47">
        <f t="shared" ref="I47:I52" si="4">H47-G47</f>
        <v>-8.25</v>
      </c>
      <c r="J47">
        <f t="shared" ref="J47:J52" si="5">I47</f>
        <v>-8.25</v>
      </c>
    </row>
    <row r="48" spans="1:10" x14ac:dyDescent="0.25">
      <c r="A48" t="s">
        <v>120</v>
      </c>
      <c r="B48" t="s">
        <v>121</v>
      </c>
      <c r="C48">
        <v>1.5</v>
      </c>
      <c r="D48">
        <v>1.5</v>
      </c>
      <c r="E48">
        <v>1.5</v>
      </c>
      <c r="F48">
        <v>1.5</v>
      </c>
      <c r="G48">
        <f t="shared" si="3"/>
        <v>1.5</v>
      </c>
      <c r="I48">
        <f t="shared" si="4"/>
        <v>-1.5</v>
      </c>
      <c r="J48">
        <f t="shared" si="5"/>
        <v>-1.5</v>
      </c>
    </row>
    <row r="49" spans="1:10" ht="24" customHeight="1" x14ac:dyDescent="0.25">
      <c r="A49" t="s">
        <v>122</v>
      </c>
      <c r="B49" t="s">
        <v>123</v>
      </c>
      <c r="C49">
        <v>1.5</v>
      </c>
      <c r="D49">
        <v>2</v>
      </c>
      <c r="E49">
        <v>2</v>
      </c>
      <c r="F49">
        <v>2</v>
      </c>
      <c r="G49">
        <f t="shared" si="3"/>
        <v>1.875</v>
      </c>
      <c r="I49">
        <f t="shared" si="4"/>
        <v>-1.875</v>
      </c>
      <c r="J49">
        <f t="shared" si="5"/>
        <v>-1.875</v>
      </c>
    </row>
    <row r="50" spans="1:10" x14ac:dyDescent="0.25">
      <c r="A50" t="s">
        <v>124</v>
      </c>
      <c r="B50" t="s">
        <v>125</v>
      </c>
      <c r="C50">
        <v>1.5</v>
      </c>
      <c r="D50">
        <v>2</v>
      </c>
      <c r="E50">
        <v>2.5</v>
      </c>
      <c r="F50">
        <v>2.5</v>
      </c>
      <c r="G50">
        <f t="shared" si="3"/>
        <v>2.125</v>
      </c>
      <c r="I50">
        <f t="shared" si="4"/>
        <v>-2.125</v>
      </c>
      <c r="J50">
        <f t="shared" si="5"/>
        <v>-2.125</v>
      </c>
    </row>
    <row r="51" spans="1:10" x14ac:dyDescent="0.25">
      <c r="A51" t="s">
        <v>126</v>
      </c>
      <c r="B51" t="s">
        <v>127</v>
      </c>
      <c r="C51">
        <v>1.5</v>
      </c>
      <c r="D51">
        <v>1.5</v>
      </c>
      <c r="E51">
        <v>2</v>
      </c>
      <c r="F51">
        <v>2</v>
      </c>
      <c r="G51">
        <f t="shared" si="3"/>
        <v>1.75</v>
      </c>
      <c r="I51">
        <f t="shared" si="4"/>
        <v>-1.75</v>
      </c>
      <c r="J51">
        <f t="shared" si="5"/>
        <v>-1.75</v>
      </c>
    </row>
    <row r="52" spans="1:10" x14ac:dyDescent="0.25">
      <c r="A52" t="s">
        <v>128</v>
      </c>
      <c r="B52" t="s">
        <v>129</v>
      </c>
      <c r="C52">
        <v>1</v>
      </c>
      <c r="D52">
        <v>1</v>
      </c>
      <c r="E52">
        <v>1</v>
      </c>
      <c r="F52">
        <v>1</v>
      </c>
      <c r="G52">
        <f t="shared" si="3"/>
        <v>1</v>
      </c>
      <c r="I52">
        <f t="shared" si="4"/>
        <v>-1</v>
      </c>
      <c r="J52">
        <f t="shared" si="5"/>
        <v>-1</v>
      </c>
    </row>
    <row r="53" spans="1:10" x14ac:dyDescent="0.25">
      <c r="A53" s="1" t="s">
        <v>79</v>
      </c>
      <c r="B53" s="1" t="s">
        <v>90</v>
      </c>
      <c r="C53">
        <v>6</v>
      </c>
      <c r="D53">
        <v>8</v>
      </c>
      <c r="E53">
        <v>7</v>
      </c>
      <c r="F53">
        <v>9</v>
      </c>
      <c r="G53">
        <f>AVERAGE(Tabelle22[[#This Row],[Niklas]]:Tabelle22[[#This Row],[Eric]])</f>
        <v>7.5</v>
      </c>
      <c r="I53">
        <f>Tabelle22[[#This Row],[Ist-Stunden]]-Tabelle22[[#This Row],[Ø Schätzung (Soll-MA-Stunden)]]</f>
        <v>-7.5</v>
      </c>
      <c r="J53">
        <f>Tabelle22[[#This Row],[Abweichung (Std.)]]</f>
        <v>-7.5</v>
      </c>
    </row>
    <row r="54" spans="1:10" x14ac:dyDescent="0.25">
      <c r="A54" s="2" t="s">
        <v>60</v>
      </c>
      <c r="B54" s="2" t="s">
        <v>61</v>
      </c>
      <c r="C54" s="2">
        <f>SUM(C55:C59)</f>
        <v>47</v>
      </c>
      <c r="D54" s="2">
        <f>SUM(D55:D59)</f>
        <v>43</v>
      </c>
      <c r="E54" s="2">
        <f>SUM(E55:E59)</f>
        <v>44.5</v>
      </c>
      <c r="F54" s="2">
        <f>SUM(F55:F59)</f>
        <v>33.5</v>
      </c>
      <c r="G54" s="2">
        <f>SUM(G55:G59)</f>
        <v>42</v>
      </c>
      <c r="H54" s="2"/>
      <c r="I54" s="2">
        <f>Tabelle22[[#This Row],[Ist-Stunden]]-Tabelle22[[#This Row],[Ø Schätzung (Soll-MA-Stunden)]]</f>
        <v>-42</v>
      </c>
      <c r="J54" s="2">
        <f>Tabelle22[[#This Row],[Abweichung (Std.)]]</f>
        <v>-42</v>
      </c>
    </row>
    <row r="55" spans="1:10" x14ac:dyDescent="0.25">
      <c r="A55" t="s">
        <v>62</v>
      </c>
      <c r="B55" t="s">
        <v>87</v>
      </c>
      <c r="C55">
        <v>4</v>
      </c>
      <c r="D55">
        <v>4</v>
      </c>
      <c r="E55">
        <v>7</v>
      </c>
      <c r="F55">
        <v>5.5</v>
      </c>
      <c r="G55">
        <f>AVERAGE(Tabelle22[[#This Row],[Niklas]]:Tabelle22[[#This Row],[Eric]])</f>
        <v>5.125</v>
      </c>
      <c r="I55">
        <f>Tabelle22[[#This Row],[Ist-Stunden]]-Tabelle22[[#This Row],[Ø Schätzung (Soll-MA-Stunden)]]</f>
        <v>-5.125</v>
      </c>
      <c r="J55">
        <f>Tabelle22[[#This Row],[Abweichung (Std.)]]</f>
        <v>-5.125</v>
      </c>
    </row>
    <row r="56" spans="1:10" x14ac:dyDescent="0.25">
      <c r="A56" t="s">
        <v>63</v>
      </c>
      <c r="B56" t="s">
        <v>86</v>
      </c>
      <c r="C56">
        <v>6</v>
      </c>
      <c r="D56">
        <v>8</v>
      </c>
      <c r="E56">
        <v>6.5</v>
      </c>
      <c r="F56">
        <v>5</v>
      </c>
      <c r="G56">
        <f>AVERAGE(Tabelle22[[#This Row],[Niklas]]:Tabelle22[[#This Row],[Eric]])</f>
        <v>6.375</v>
      </c>
      <c r="I56">
        <f>Tabelle22[[#This Row],[Ist-Stunden]]-Tabelle22[[#This Row],[Ø Schätzung (Soll-MA-Stunden)]]</f>
        <v>-6.375</v>
      </c>
      <c r="J56">
        <f>Tabelle22[[#This Row],[Abweichung (Std.)]]</f>
        <v>-6.375</v>
      </c>
    </row>
    <row r="57" spans="1:10" x14ac:dyDescent="0.25">
      <c r="A57" t="s">
        <v>64</v>
      </c>
      <c r="B57" t="s">
        <v>85</v>
      </c>
      <c r="C57">
        <v>2</v>
      </c>
      <c r="D57">
        <v>1</v>
      </c>
      <c r="E57">
        <v>1</v>
      </c>
      <c r="F57">
        <v>1</v>
      </c>
      <c r="G57">
        <f>AVERAGE(Tabelle22[[#This Row],[Niklas]]:Tabelle22[[#This Row],[Eric]])</f>
        <v>1.25</v>
      </c>
      <c r="I57">
        <f>Tabelle22[[#This Row],[Ist-Stunden]]-Tabelle22[[#This Row],[Ø Schätzung (Soll-MA-Stunden)]]</f>
        <v>-1.25</v>
      </c>
      <c r="J57">
        <f>Tabelle22[[#This Row],[Abweichung (Std.)]]</f>
        <v>-1.25</v>
      </c>
    </row>
    <row r="58" spans="1:10" x14ac:dyDescent="0.25">
      <c r="A58" t="s">
        <v>65</v>
      </c>
      <c r="B58" t="s">
        <v>91</v>
      </c>
      <c r="C58">
        <v>25</v>
      </c>
      <c r="D58">
        <v>20</v>
      </c>
      <c r="E58">
        <v>20</v>
      </c>
      <c r="F58">
        <v>15</v>
      </c>
      <c r="G58">
        <f>AVERAGE(Tabelle22[[#This Row],[Niklas]]:Tabelle22[[#This Row],[Eric]])</f>
        <v>20</v>
      </c>
      <c r="I58">
        <f>Tabelle22[[#This Row],[Ist-Stunden]]-Tabelle22[[#This Row],[Ø Schätzung (Soll-MA-Stunden)]]</f>
        <v>-20</v>
      </c>
      <c r="J58">
        <f>Tabelle22[[#This Row],[Abweichung (Std.)]]</f>
        <v>-20</v>
      </c>
    </row>
    <row r="59" spans="1:10" x14ac:dyDescent="0.25">
      <c r="A59" t="s">
        <v>81</v>
      </c>
      <c r="B59" t="s">
        <v>80</v>
      </c>
      <c r="C59">
        <v>10</v>
      </c>
      <c r="D59">
        <v>10</v>
      </c>
      <c r="E59">
        <v>10</v>
      </c>
      <c r="F59">
        <v>7</v>
      </c>
      <c r="G59">
        <f>AVERAGE(Tabelle22[[#This Row],[Niklas]]:Tabelle22[[#This Row],[Eric]])</f>
        <v>9.25</v>
      </c>
      <c r="I59">
        <f>Tabelle22[[#This Row],[Ist-Stunden]]-Tabelle22[[#This Row],[Ø Schätzung (Soll-MA-Stunden)]]</f>
        <v>-9.25</v>
      </c>
      <c r="J59">
        <f>Tabelle22[[#This Row],[Abweichung (Std.)]]</f>
        <v>-9.25</v>
      </c>
    </row>
    <row r="60" spans="1:10" x14ac:dyDescent="0.25">
      <c r="A60" s="2" t="s">
        <v>66</v>
      </c>
      <c r="B60" s="2" t="s">
        <v>67</v>
      </c>
      <c r="C60" s="2">
        <f>SUM(C61:C62)</f>
        <v>36</v>
      </c>
      <c r="D60" s="2">
        <f>SUM(D61:D62)</f>
        <v>28</v>
      </c>
      <c r="E60" s="2">
        <f>SUM(E61:E62)</f>
        <v>32</v>
      </c>
      <c r="F60" s="2">
        <f>SUM(F61:F62)</f>
        <v>25</v>
      </c>
      <c r="G60" s="2">
        <f>SUM(G61:G62)</f>
        <v>30.25</v>
      </c>
      <c r="H60" s="2"/>
      <c r="I60" s="2">
        <f>Tabelle22[[#This Row],[Ist-Stunden]]-Tabelle22[[#This Row],[Ø Schätzung (Soll-MA-Stunden)]]</f>
        <v>-30.25</v>
      </c>
      <c r="J60" s="2">
        <f>Tabelle22[[#This Row],[Abweichung (Std.)]]</f>
        <v>-30.25</v>
      </c>
    </row>
    <row r="61" spans="1:10" x14ac:dyDescent="0.25">
      <c r="A61" t="s">
        <v>68</v>
      </c>
      <c r="B61" t="s">
        <v>69</v>
      </c>
      <c r="C61">
        <v>27</v>
      </c>
      <c r="D61">
        <v>20</v>
      </c>
      <c r="E61">
        <v>22</v>
      </c>
      <c r="F61">
        <v>17</v>
      </c>
      <c r="G61">
        <f>AVERAGE(Tabelle22[[#This Row],[Niklas]]:Tabelle22[[#This Row],[Eric]])</f>
        <v>21.5</v>
      </c>
      <c r="I61">
        <f>Tabelle22[[#This Row],[Ist-Stunden]]-Tabelle22[[#This Row],[Ø Schätzung (Soll-MA-Stunden)]]</f>
        <v>-21.5</v>
      </c>
      <c r="J61">
        <f>Tabelle22[[#This Row],[Abweichung (Std.)]]</f>
        <v>-21.5</v>
      </c>
    </row>
    <row r="62" spans="1:10" x14ac:dyDescent="0.25">
      <c r="A62" t="s">
        <v>70</v>
      </c>
      <c r="B62" t="s">
        <v>71</v>
      </c>
      <c r="C62">
        <v>9</v>
      </c>
      <c r="D62">
        <v>8</v>
      </c>
      <c r="E62">
        <v>10</v>
      </c>
      <c r="F62">
        <v>8</v>
      </c>
      <c r="G62">
        <f>AVERAGE(Tabelle22[[#This Row],[Niklas]]:Tabelle22[[#This Row],[Eric]])</f>
        <v>8.75</v>
      </c>
      <c r="I62">
        <f>Tabelle22[[#This Row],[Ist-Stunden]]-Tabelle22[[#This Row],[Ø Schätzung (Soll-MA-Stunden)]]</f>
        <v>-8.75</v>
      </c>
      <c r="J62">
        <f>Tabelle22[[#This Row],[Abweichung (Std.)]]</f>
        <v>-8.75</v>
      </c>
    </row>
    <row r="63" spans="1:10" ht="24" thickBot="1" x14ac:dyDescent="0.4">
      <c r="A63" s="5"/>
      <c r="B63" s="6" t="s">
        <v>97</v>
      </c>
      <c r="C63" s="7">
        <f>SUM(C60,C54,C25,C19,C15,C9,C2)</f>
        <v>416.5</v>
      </c>
      <c r="D63" s="7">
        <f>SUM(D60,D54,D25,D19,D15,D9,D2)</f>
        <v>465.5</v>
      </c>
      <c r="E63" s="7">
        <f>SUM(E60,E54,E25,E19,E15,E9,E2)</f>
        <v>404</v>
      </c>
      <c r="F63" s="7">
        <f>SUM(F60,F54,F25,F19,F15,F9,F2)</f>
        <v>429</v>
      </c>
      <c r="G63" s="7">
        <f>G60+G54+G25+G19+G15+G9+G2</f>
        <v>428.75</v>
      </c>
      <c r="H63" s="5"/>
      <c r="I63" s="5"/>
      <c r="J63" s="5"/>
    </row>
    <row r="64" spans="1:10" ht="15.75" thickTop="1" x14ac:dyDescent="0.25"/>
  </sheetData>
  <pageMargins left="0.74803149606299213" right="0.74803149606299213" top="0.98425196850393704" bottom="0.98425196850393704" header="0.51181102362204722" footer="0.51181102362204722"/>
  <pageSetup paperSize="9" scale="61" fitToHeight="0" orientation="landscape" r:id="rId1"/>
  <headerFooter>
    <oddHeader>&amp;L&amp;G&amp;CHölzl, Prevedel, Steffelbauer, Raindl&amp;R&amp;D</oddHeader>
    <oddFooter>&amp;L&amp;F&amp;CF&amp;RSeite &amp;P von 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Aufwandsschätzung</vt:lpstr>
      <vt:lpstr>Aufwandsschätzung!Druckbereich</vt:lpstr>
      <vt:lpstr>Aufwandsschätzung!Drucktitel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Steffelbauer</cp:lastModifiedBy>
  <cp:lastPrinted>2025-12-10T21:39:07Z</cp:lastPrinted>
  <dcterms:created xsi:type="dcterms:W3CDTF">2025-11-14T11:55:10Z</dcterms:created>
  <dcterms:modified xsi:type="dcterms:W3CDTF">2026-04-23T07:13:10Z</dcterms:modified>
</cp:coreProperties>
</file>