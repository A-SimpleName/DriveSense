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2025_26\SYPRET\DriveSense\Dokumentation\Organisation\"/>
    </mc:Choice>
  </mc:AlternateContent>
  <xr:revisionPtr revIDLastSave="0" documentId="13_ncr:1_{022801D3-7709-4C5E-861F-F5B255A99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fwandschätz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1" i="1"/>
  <c r="D23" i="1"/>
  <c r="E23" i="1"/>
  <c r="F23" i="1"/>
  <c r="G23" i="1"/>
  <c r="C23" i="1"/>
  <c r="D34" i="1"/>
  <c r="E34" i="1"/>
  <c r="F34" i="1"/>
  <c r="G34" i="1"/>
  <c r="C34" i="1"/>
  <c r="G37" i="1"/>
  <c r="G36" i="1"/>
  <c r="G35" i="1"/>
  <c r="G24" i="1"/>
  <c r="C24" i="1"/>
  <c r="E24" i="1"/>
  <c r="F24" i="1"/>
  <c r="D24" i="1"/>
  <c r="D29" i="1"/>
  <c r="E29" i="1"/>
  <c r="F29" i="1"/>
  <c r="G29" i="1"/>
  <c r="C29" i="1"/>
  <c r="G33" i="1"/>
  <c r="G32" i="1"/>
  <c r="G31" i="1"/>
  <c r="G30" i="1"/>
  <c r="D25" i="1"/>
  <c r="E25" i="1"/>
  <c r="F25" i="1"/>
  <c r="C25" i="1"/>
  <c r="G27" i="1"/>
  <c r="G28" i="1"/>
  <c r="G26" i="1"/>
  <c r="G25" i="1" s="1"/>
  <c r="G22" i="1"/>
  <c r="G20" i="1"/>
  <c r="G19" i="1"/>
  <c r="G18" i="1"/>
  <c r="G16" i="1"/>
  <c r="G15" i="1"/>
  <c r="G14" i="1"/>
  <c r="D3" i="1"/>
  <c r="E3" i="1"/>
  <c r="F3" i="1"/>
  <c r="C3" i="1"/>
  <c r="G12" i="1"/>
  <c r="G11" i="1"/>
  <c r="G10" i="1"/>
  <c r="G8" i="1"/>
  <c r="G7" i="1"/>
  <c r="G6" i="1"/>
  <c r="G5" i="1"/>
  <c r="G4" i="1"/>
  <c r="G3" i="1" s="1"/>
</calcChain>
</file>

<file path=xl/sharedStrings.xml><?xml version="1.0" encoding="utf-8"?>
<sst xmlns="http://schemas.openxmlformats.org/spreadsheetml/2006/main" count="101" uniqueCount="98">
  <si>
    <t>Ebene</t>
  </si>
  <si>
    <t>Aufgabe</t>
  </si>
  <si>
    <t>Soll-Stunden</t>
  </si>
  <si>
    <t>Ist-Stunden</t>
  </si>
  <si>
    <t>Abweichung (Std.)</t>
  </si>
  <si>
    <t>Abweichung (%)</t>
  </si>
  <si>
    <t>Anmerkung</t>
  </si>
  <si>
    <t>1</t>
  </si>
  <si>
    <t>Projektmanagement</t>
  </si>
  <si>
    <t>1.1</t>
  </si>
  <si>
    <t>Zeitverwaltung mit Clockify aufsetzen</t>
  </si>
  <si>
    <t>1.2</t>
  </si>
  <si>
    <t>Git Repository für Datei- und Versionsverwaltung erstellen</t>
  </si>
  <si>
    <t>1.3</t>
  </si>
  <si>
    <t>Aufgabenverteilung festlegen</t>
  </si>
  <si>
    <t>1.4</t>
  </si>
  <si>
    <t>2</t>
  </si>
  <si>
    <t>Planung</t>
  </si>
  <si>
    <t>2.1</t>
  </si>
  <si>
    <t>Projektstrukturplan erstellen</t>
  </si>
  <si>
    <t>2.2</t>
  </si>
  <si>
    <t>Aufwandsschätzung durchführen</t>
  </si>
  <si>
    <t>2.3</t>
  </si>
  <si>
    <t>Projektdefinition erstellen</t>
  </si>
  <si>
    <t>3</t>
  </si>
  <si>
    <t>Analyse</t>
  </si>
  <si>
    <t>3.1</t>
  </si>
  <si>
    <t>Projektidee diskutieren</t>
  </si>
  <si>
    <t>3.2</t>
  </si>
  <si>
    <t>Funktionsumfang definieren</t>
  </si>
  <si>
    <t>3.3</t>
  </si>
  <si>
    <t>ER-Diagramm für Datenbank erstellen</t>
  </si>
  <si>
    <t>4</t>
  </si>
  <si>
    <t>Design</t>
  </si>
  <si>
    <t>4.1</t>
  </si>
  <si>
    <t>Logo erstellen</t>
  </si>
  <si>
    <t>4.2</t>
  </si>
  <si>
    <t>Farbschema festlegen</t>
  </si>
  <si>
    <t>4.3</t>
  </si>
  <si>
    <t>Benutzeroberfläche skizzieren</t>
  </si>
  <si>
    <t>4.4</t>
  </si>
  <si>
    <t>Datenbankschema erstellen</t>
  </si>
  <si>
    <t>4.5</t>
  </si>
  <si>
    <t>Projektplakat erstellen</t>
  </si>
  <si>
    <t>5</t>
  </si>
  <si>
    <t>Implementierung</t>
  </si>
  <si>
    <t>5.1</t>
  </si>
  <si>
    <t>5.1.1</t>
  </si>
  <si>
    <t>Web-App</t>
  </si>
  <si>
    <t>5.1.1.1</t>
  </si>
  <si>
    <t>Fahrtenübersicht</t>
  </si>
  <si>
    <t>5.1.1.2</t>
  </si>
  <si>
    <t>Exportvorgang</t>
  </si>
  <si>
    <t>5.1.1.3</t>
  </si>
  <si>
    <t>User-Login/Register</t>
  </si>
  <si>
    <t>5.1.2</t>
  </si>
  <si>
    <t>App</t>
  </si>
  <si>
    <t>5.1.2.1</t>
  </si>
  <si>
    <t>5.1.2.2</t>
  </si>
  <si>
    <t>5.1.2.3</t>
  </si>
  <si>
    <t>Fahrten-Tracking mit GPS</t>
  </si>
  <si>
    <t>5.2</t>
  </si>
  <si>
    <t>5.2.1</t>
  </si>
  <si>
    <t>5.2.2</t>
  </si>
  <si>
    <t>6</t>
  </si>
  <si>
    <t>Test</t>
  </si>
  <si>
    <t>6.1</t>
  </si>
  <si>
    <t>6.2</t>
  </si>
  <si>
    <t>6.3</t>
  </si>
  <si>
    <t>6.4</t>
  </si>
  <si>
    <t>7</t>
  </si>
  <si>
    <t>Abschluss</t>
  </si>
  <si>
    <t>7.1</t>
  </si>
  <si>
    <t>Dokumentation schreiben</t>
  </si>
  <si>
    <t>7.2</t>
  </si>
  <si>
    <t>Projekt präsentieren</t>
  </si>
  <si>
    <t>Eric</t>
  </si>
  <si>
    <t>Christof</t>
  </si>
  <si>
    <t>Daniel</t>
  </si>
  <si>
    <t>Niklas</t>
  </si>
  <si>
    <t>1.5</t>
  </si>
  <si>
    <t>Kickoff-Meeting planen und durchführen</t>
  </si>
  <si>
    <t>5.1.2.4</t>
  </si>
  <si>
    <t>5.2.3</t>
  </si>
  <si>
    <t>Abschlussreview durchführen</t>
  </si>
  <si>
    <t>6.5</t>
  </si>
  <si>
    <t>CM-Plan erstellen</t>
  </si>
  <si>
    <t xml:space="preserve">Frontend </t>
  </si>
  <si>
    <t xml:space="preserve">Backend </t>
  </si>
  <si>
    <t>Usability-Test / Nutzertest</t>
  </si>
  <si>
    <t>Integrationstest Backend</t>
  </si>
  <si>
    <t>Funktionstest (Web &amp; App)</t>
  </si>
  <si>
    <t>Schätzungen in Mitarbeiterstunden</t>
  </si>
  <si>
    <t>⌀ Schätzung</t>
  </si>
  <si>
    <t>MySQL Datenbank implementieren</t>
  </si>
  <si>
    <t>Datenaustausch mit WebApp und App ermöglichen</t>
  </si>
  <si>
    <t>Validierung der übergebenen Daten implementieren</t>
  </si>
  <si>
    <t>Bugfixing und Codeoptimierung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</si>
</sst>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FFD966"/>
      </patternFill>
    </fill>
    <fill>
      <patternFill patternType="solid">
        <fgColor theme="8" tint="0.59999389629810485"/>
        <bgColor rgb="FFFFF2CC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1" xfId="0" applyFill="1" applyBorder="1"/>
    <xf numFmtId="49" fontId="0" fillId="3" borderId="0" xfId="0" applyNumberFormat="1" applyFill="1"/>
    <xf numFmtId="0" fontId="0" fillId="0" borderId="1" xfId="0" applyBorder="1"/>
    <xf numFmtId="49" fontId="0" fillId="0" borderId="0" xfId="0" applyNumberFormat="1"/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3" workbookViewId="0">
      <selection activeCell="G46" sqref="G46"/>
    </sheetView>
  </sheetViews>
  <sheetFormatPr baseColWidth="10" defaultColWidth="9.109375" defaultRowHeight="14.4" x14ac:dyDescent="0.3"/>
  <cols>
    <col min="1" max="1" width="9.5546875" customWidth="1"/>
    <col min="2" max="2" width="60" customWidth="1"/>
    <col min="3" max="6" width="13.5546875" customWidth="1"/>
    <col min="7" max="7" width="15.44140625" customWidth="1"/>
    <col min="8" max="8" width="13" customWidth="1"/>
    <col min="9" max="9" width="19" customWidth="1"/>
    <col min="10" max="10" width="16" customWidth="1"/>
    <col min="11" max="11" width="11" customWidth="1"/>
  </cols>
  <sheetData>
    <row r="1" spans="1:11" x14ac:dyDescent="0.3">
      <c r="A1" s="8" t="s">
        <v>0</v>
      </c>
      <c r="B1" s="8" t="s">
        <v>1</v>
      </c>
      <c r="C1" s="8" t="s">
        <v>92</v>
      </c>
      <c r="D1" s="8"/>
      <c r="E1" s="8"/>
      <c r="F1" s="8"/>
      <c r="G1" s="7" t="s">
        <v>93</v>
      </c>
      <c r="H1" s="8" t="s">
        <v>3</v>
      </c>
      <c r="I1" s="8" t="s">
        <v>4</v>
      </c>
      <c r="J1" s="8" t="s">
        <v>5</v>
      </c>
      <c r="K1" s="8" t="s">
        <v>6</v>
      </c>
    </row>
    <row r="2" spans="1:11" x14ac:dyDescent="0.3">
      <c r="A2" s="8"/>
      <c r="B2" s="8"/>
      <c r="C2" s="1" t="s">
        <v>76</v>
      </c>
      <c r="D2" s="1" t="s">
        <v>77</v>
      </c>
      <c r="E2" s="1" t="s">
        <v>78</v>
      </c>
      <c r="F2" s="1" t="s">
        <v>79</v>
      </c>
      <c r="G2" s="1" t="s">
        <v>2</v>
      </c>
      <c r="H2" s="8"/>
      <c r="I2" s="8"/>
      <c r="J2" s="8"/>
      <c r="K2" s="8"/>
    </row>
    <row r="3" spans="1:11" x14ac:dyDescent="0.3">
      <c r="A3" t="s">
        <v>7</v>
      </c>
      <c r="B3" t="s">
        <v>8</v>
      </c>
      <c r="C3">
        <f>SUM(C4:C8)</f>
        <v>27.5</v>
      </c>
      <c r="D3">
        <f t="shared" ref="D3:F3" si="0">SUM(D4:D8)</f>
        <v>27</v>
      </c>
      <c r="E3">
        <f t="shared" si="0"/>
        <v>29.5</v>
      </c>
      <c r="F3">
        <f t="shared" si="0"/>
        <v>24</v>
      </c>
      <c r="G3">
        <f>SUM(G4:G8)</f>
        <v>27</v>
      </c>
    </row>
    <row r="4" spans="1:11" x14ac:dyDescent="0.3">
      <c r="A4" s="2" t="s">
        <v>9</v>
      </c>
      <c r="B4" s="2" t="s">
        <v>10</v>
      </c>
      <c r="C4" s="2">
        <v>2.5</v>
      </c>
      <c r="D4" s="2">
        <v>2.5</v>
      </c>
      <c r="E4" s="2">
        <v>2.5</v>
      </c>
      <c r="F4" s="2">
        <v>2.5</v>
      </c>
      <c r="G4" s="2">
        <f>SUM(C4:F4)/4</f>
        <v>2.5</v>
      </c>
      <c r="H4" s="2"/>
      <c r="I4" s="2"/>
      <c r="J4" s="2"/>
      <c r="K4" s="2"/>
    </row>
    <row r="5" spans="1:11" x14ac:dyDescent="0.3">
      <c r="A5" t="s">
        <v>11</v>
      </c>
      <c r="B5" t="s">
        <v>12</v>
      </c>
      <c r="C5">
        <v>6</v>
      </c>
      <c r="D5">
        <v>8</v>
      </c>
      <c r="E5">
        <v>7</v>
      </c>
      <c r="F5">
        <v>4</v>
      </c>
      <c r="G5">
        <f>SUM(C5:F5)/4</f>
        <v>6.25</v>
      </c>
    </row>
    <row r="6" spans="1:11" x14ac:dyDescent="0.3">
      <c r="A6" s="2" t="s">
        <v>13</v>
      </c>
      <c r="B6" s="2" t="s">
        <v>14</v>
      </c>
      <c r="C6" s="2">
        <v>2</v>
      </c>
      <c r="D6" s="2">
        <v>2.5</v>
      </c>
      <c r="E6" s="2">
        <v>1</v>
      </c>
      <c r="F6" s="2">
        <v>2.5</v>
      </c>
      <c r="G6" s="2">
        <f>SUM(C6:F6)/4</f>
        <v>2</v>
      </c>
      <c r="H6" s="2"/>
      <c r="I6" s="2"/>
      <c r="J6" s="2"/>
      <c r="K6" s="2"/>
    </row>
    <row r="7" spans="1:11" x14ac:dyDescent="0.3">
      <c r="A7" t="s">
        <v>15</v>
      </c>
      <c r="B7" t="s">
        <v>86</v>
      </c>
      <c r="C7">
        <v>7</v>
      </c>
      <c r="D7">
        <v>6</v>
      </c>
      <c r="E7">
        <v>7</v>
      </c>
      <c r="F7">
        <v>6</v>
      </c>
      <c r="G7">
        <f>SUM(C7:F7)/4</f>
        <v>6.5</v>
      </c>
    </row>
    <row r="8" spans="1:11" x14ac:dyDescent="0.3">
      <c r="A8" s="4" t="s">
        <v>80</v>
      </c>
      <c r="B8" s="2" t="s">
        <v>81</v>
      </c>
      <c r="C8" s="2">
        <v>10</v>
      </c>
      <c r="D8" s="2">
        <v>8</v>
      </c>
      <c r="E8" s="2">
        <v>12</v>
      </c>
      <c r="F8" s="2">
        <v>9</v>
      </c>
      <c r="G8" s="2">
        <f>SUM(C8:F8)/4</f>
        <v>9.75</v>
      </c>
      <c r="H8" s="2"/>
      <c r="I8" s="2"/>
      <c r="J8" s="2"/>
      <c r="K8" s="2"/>
    </row>
    <row r="9" spans="1:11" x14ac:dyDescent="0.3">
      <c r="A9" s="5" t="s">
        <v>16</v>
      </c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2" t="s">
        <v>18</v>
      </c>
      <c r="B10" s="2" t="s">
        <v>19</v>
      </c>
      <c r="C10" s="2">
        <v>14</v>
      </c>
      <c r="D10" s="2">
        <v>14</v>
      </c>
      <c r="E10" s="2">
        <v>14</v>
      </c>
      <c r="F10" s="2">
        <v>15</v>
      </c>
      <c r="G10" s="2">
        <f>SUM(C10:F10)/4</f>
        <v>14.25</v>
      </c>
      <c r="H10" s="2"/>
      <c r="I10" s="2"/>
      <c r="J10" s="2"/>
      <c r="K10" s="2"/>
    </row>
    <row r="11" spans="1:11" x14ac:dyDescent="0.3">
      <c r="A11" t="s">
        <v>20</v>
      </c>
      <c r="B11" t="s">
        <v>21</v>
      </c>
      <c r="C11" s="9">
        <v>7</v>
      </c>
      <c r="D11" s="9">
        <v>6</v>
      </c>
      <c r="E11" s="9">
        <v>6</v>
      </c>
      <c r="F11" s="9">
        <v>7</v>
      </c>
      <c r="G11" s="9">
        <f>SUM(C11:F11)/4</f>
        <v>6.5</v>
      </c>
    </row>
    <row r="12" spans="1:11" x14ac:dyDescent="0.3">
      <c r="A12" s="2" t="s">
        <v>22</v>
      </c>
      <c r="B12" s="2" t="s">
        <v>23</v>
      </c>
      <c r="C12" s="2">
        <v>14</v>
      </c>
      <c r="D12" s="2">
        <v>12</v>
      </c>
      <c r="E12" s="2">
        <v>15</v>
      </c>
      <c r="F12" s="2">
        <v>16</v>
      </c>
      <c r="G12" s="2">
        <f>SUM(C12:F12)/4</f>
        <v>14.25</v>
      </c>
      <c r="H12" s="2"/>
      <c r="I12" s="2"/>
      <c r="J12" s="2"/>
      <c r="K12" s="2"/>
    </row>
    <row r="13" spans="1:11" x14ac:dyDescent="0.3">
      <c r="A13" s="5" t="s">
        <v>24</v>
      </c>
      <c r="B13" s="5" t="s">
        <v>25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3">
      <c r="A14" s="2" t="s">
        <v>26</v>
      </c>
      <c r="B14" s="2" t="s">
        <v>27</v>
      </c>
      <c r="C14" s="2">
        <v>2.5</v>
      </c>
      <c r="D14" s="2">
        <v>3</v>
      </c>
      <c r="E14" s="2">
        <v>2.5</v>
      </c>
      <c r="F14" s="2">
        <v>3</v>
      </c>
      <c r="G14" s="2">
        <f>SUM(C14:F14)/4</f>
        <v>2.75</v>
      </c>
      <c r="H14" s="2"/>
      <c r="I14" s="2"/>
      <c r="J14" s="2"/>
      <c r="K14" s="2"/>
    </row>
    <row r="15" spans="1:11" x14ac:dyDescent="0.3">
      <c r="A15" t="s">
        <v>28</v>
      </c>
      <c r="B15" t="s">
        <v>29</v>
      </c>
      <c r="C15" s="9">
        <v>2.5</v>
      </c>
      <c r="D15" s="9">
        <v>3</v>
      </c>
      <c r="E15" s="9">
        <v>2.5</v>
      </c>
      <c r="F15" s="9">
        <v>3</v>
      </c>
      <c r="G15">
        <f>SUM(C15:F15)/4</f>
        <v>2.75</v>
      </c>
    </row>
    <row r="16" spans="1:11" x14ac:dyDescent="0.3">
      <c r="A16" s="2" t="s">
        <v>30</v>
      </c>
      <c r="B16" s="2" t="s">
        <v>31</v>
      </c>
      <c r="C16" s="2">
        <v>5</v>
      </c>
      <c r="D16" s="2">
        <v>4</v>
      </c>
      <c r="E16" s="2">
        <v>5</v>
      </c>
      <c r="F16" s="2">
        <v>4</v>
      </c>
      <c r="G16" s="2">
        <f>SUM(C16:F16)/4</f>
        <v>4.5</v>
      </c>
      <c r="H16" s="2"/>
      <c r="I16" s="2"/>
      <c r="J16" s="2"/>
      <c r="K16" s="2"/>
    </row>
    <row r="17" spans="1:11" x14ac:dyDescent="0.3">
      <c r="A17" s="5" t="s">
        <v>32</v>
      </c>
      <c r="B17" s="5" t="s">
        <v>33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3">
      <c r="A18" s="2" t="s">
        <v>34</v>
      </c>
      <c r="B18" s="2" t="s">
        <v>35</v>
      </c>
      <c r="C18" s="2">
        <v>1</v>
      </c>
      <c r="D18" s="2">
        <v>2</v>
      </c>
      <c r="E18" s="2">
        <v>2</v>
      </c>
      <c r="F18" s="2">
        <v>1</v>
      </c>
      <c r="G18" s="2">
        <f>SUM(C18:F18)/4</f>
        <v>1.5</v>
      </c>
      <c r="H18" s="2"/>
      <c r="I18" s="2"/>
      <c r="J18" s="2"/>
      <c r="K18" s="2"/>
    </row>
    <row r="19" spans="1:11" x14ac:dyDescent="0.3">
      <c r="A19" t="s">
        <v>36</v>
      </c>
      <c r="B19" t="s">
        <v>37</v>
      </c>
      <c r="C19" s="9">
        <v>1</v>
      </c>
      <c r="D19" s="9">
        <v>0.5</v>
      </c>
      <c r="E19" s="9">
        <v>1</v>
      </c>
      <c r="F19" s="9">
        <v>0.5</v>
      </c>
      <c r="G19" s="9">
        <f>SUM(C19:F19)/4</f>
        <v>0.75</v>
      </c>
    </row>
    <row r="20" spans="1:11" x14ac:dyDescent="0.3">
      <c r="A20" s="2" t="s">
        <v>38</v>
      </c>
      <c r="B20" s="2" t="s">
        <v>39</v>
      </c>
      <c r="C20" s="2">
        <v>7</v>
      </c>
      <c r="D20" s="2">
        <v>8</v>
      </c>
      <c r="E20" s="2">
        <v>5</v>
      </c>
      <c r="F20" s="2">
        <v>6</v>
      </c>
      <c r="G20" s="2">
        <f>SUM(C20:F20)/4</f>
        <v>6.5</v>
      </c>
      <c r="H20" s="2"/>
      <c r="I20" s="2"/>
      <c r="J20" s="2"/>
      <c r="K20" s="2"/>
    </row>
    <row r="21" spans="1:11" x14ac:dyDescent="0.3">
      <c r="A21" t="s">
        <v>40</v>
      </c>
      <c r="B21" t="s">
        <v>41</v>
      </c>
    </row>
    <row r="22" spans="1:11" x14ac:dyDescent="0.3">
      <c r="A22" s="2" t="s">
        <v>42</v>
      </c>
      <c r="B22" s="2" t="s">
        <v>43</v>
      </c>
      <c r="C22" s="2">
        <v>7</v>
      </c>
      <c r="D22" s="2">
        <v>6</v>
      </c>
      <c r="E22" s="2">
        <v>5</v>
      </c>
      <c r="F22" s="2">
        <v>6</v>
      </c>
      <c r="G22" s="2">
        <f>SUM(C22:F22)/4</f>
        <v>6</v>
      </c>
      <c r="H22" s="2"/>
      <c r="I22" s="2"/>
      <c r="J22" s="2"/>
      <c r="K22" s="2"/>
    </row>
    <row r="23" spans="1:11" x14ac:dyDescent="0.3">
      <c r="A23" s="5" t="s">
        <v>44</v>
      </c>
      <c r="B23" s="5" t="s">
        <v>45</v>
      </c>
      <c r="C23" s="5">
        <f>C24+C34</f>
        <v>223</v>
      </c>
      <c r="D23" s="5">
        <f t="shared" ref="D23:G23" si="1">D24+D34</f>
        <v>291</v>
      </c>
      <c r="E23" s="5">
        <f t="shared" si="1"/>
        <v>224</v>
      </c>
      <c r="F23" s="5">
        <f t="shared" si="1"/>
        <v>286</v>
      </c>
      <c r="G23" s="5">
        <f t="shared" si="1"/>
        <v>256</v>
      </c>
      <c r="H23" s="5"/>
      <c r="I23" s="5"/>
      <c r="J23" s="5"/>
      <c r="K23" s="5"/>
    </row>
    <row r="24" spans="1:11" x14ac:dyDescent="0.3">
      <c r="A24" s="2" t="s">
        <v>46</v>
      </c>
      <c r="B24" s="2" t="s">
        <v>87</v>
      </c>
      <c r="C24" s="2">
        <f>C25+C29</f>
        <v>190</v>
      </c>
      <c r="D24" s="2">
        <f>D25+D29</f>
        <v>250</v>
      </c>
      <c r="E24" s="2">
        <f t="shared" ref="E24:F24" si="2">E25+E29</f>
        <v>178</v>
      </c>
      <c r="F24" s="2">
        <f t="shared" si="2"/>
        <v>228</v>
      </c>
      <c r="G24" s="2">
        <f>SUM(C24:F24)/4</f>
        <v>211.5</v>
      </c>
      <c r="H24" s="2"/>
      <c r="I24" s="2"/>
      <c r="J24" s="2"/>
      <c r="K24" s="2"/>
    </row>
    <row r="25" spans="1:11" x14ac:dyDescent="0.3">
      <c r="A25" t="s">
        <v>47</v>
      </c>
      <c r="B25" t="s">
        <v>48</v>
      </c>
      <c r="C25">
        <f>SUM(C26:C28)</f>
        <v>55</v>
      </c>
      <c r="D25">
        <f t="shared" ref="D25:G25" si="3">SUM(D26:D28)</f>
        <v>66</v>
      </c>
      <c r="E25">
        <f t="shared" si="3"/>
        <v>48</v>
      </c>
      <c r="F25">
        <f t="shared" si="3"/>
        <v>66</v>
      </c>
      <c r="G25">
        <f t="shared" si="3"/>
        <v>58.75</v>
      </c>
    </row>
    <row r="26" spans="1:11" x14ac:dyDescent="0.3">
      <c r="A26" s="2" t="s">
        <v>49</v>
      </c>
      <c r="B26" s="2" t="s">
        <v>50</v>
      </c>
      <c r="C26" s="2">
        <v>30</v>
      </c>
      <c r="D26" s="2">
        <v>45</v>
      </c>
      <c r="E26" s="2">
        <v>30</v>
      </c>
      <c r="F26" s="2">
        <v>40</v>
      </c>
      <c r="G26" s="2">
        <f>SUM(C26:F26)/4</f>
        <v>36.25</v>
      </c>
      <c r="H26" s="2"/>
      <c r="I26" s="2"/>
      <c r="J26" s="2"/>
      <c r="K26" s="2"/>
    </row>
    <row r="27" spans="1:11" x14ac:dyDescent="0.3">
      <c r="A27" t="s">
        <v>51</v>
      </c>
      <c r="B27" t="s">
        <v>52</v>
      </c>
      <c r="C27">
        <v>20</v>
      </c>
      <c r="D27">
        <v>16</v>
      </c>
      <c r="E27">
        <v>15</v>
      </c>
      <c r="F27">
        <v>20</v>
      </c>
      <c r="G27">
        <f>SUM(C27:F27)/4</f>
        <v>17.75</v>
      </c>
    </row>
    <row r="28" spans="1:11" x14ac:dyDescent="0.3">
      <c r="A28" s="2" t="s">
        <v>53</v>
      </c>
      <c r="B28" s="2" t="s">
        <v>54</v>
      </c>
      <c r="C28" s="2">
        <v>5</v>
      </c>
      <c r="D28" s="2">
        <v>5</v>
      </c>
      <c r="E28" s="2">
        <v>3</v>
      </c>
      <c r="F28" s="2">
        <v>6</v>
      </c>
      <c r="G28" s="2">
        <f>SUM(C28:F28)/4</f>
        <v>4.75</v>
      </c>
      <c r="H28" s="2"/>
      <c r="I28" s="2"/>
      <c r="J28" s="2"/>
      <c r="K28" s="2"/>
    </row>
    <row r="29" spans="1:11" x14ac:dyDescent="0.3">
      <c r="A29" t="s">
        <v>55</v>
      </c>
      <c r="B29" t="s">
        <v>56</v>
      </c>
      <c r="C29">
        <f>SUM(C30:C33)</f>
        <v>135</v>
      </c>
      <c r="D29">
        <f t="shared" ref="D29:G29" si="4">SUM(D30:D33)</f>
        <v>184</v>
      </c>
      <c r="E29">
        <f t="shared" si="4"/>
        <v>130</v>
      </c>
      <c r="F29">
        <f t="shared" si="4"/>
        <v>162</v>
      </c>
      <c r="G29">
        <f t="shared" si="4"/>
        <v>152.75</v>
      </c>
    </row>
    <row r="30" spans="1:11" x14ac:dyDescent="0.3">
      <c r="A30" s="2" t="s">
        <v>57</v>
      </c>
      <c r="B30" s="2" t="s">
        <v>50</v>
      </c>
      <c r="C30" s="2">
        <v>45</v>
      </c>
      <c r="D30" s="2">
        <v>60</v>
      </c>
      <c r="E30" s="2">
        <v>45</v>
      </c>
      <c r="F30" s="2">
        <v>60</v>
      </c>
      <c r="G30" s="2">
        <f>SUM(C30:F30)/4</f>
        <v>52.5</v>
      </c>
      <c r="H30" s="2"/>
      <c r="I30" s="2"/>
      <c r="J30" s="2"/>
      <c r="K30" s="2"/>
    </row>
    <row r="31" spans="1:11" x14ac:dyDescent="0.3">
      <c r="A31" t="s">
        <v>58</v>
      </c>
      <c r="B31" t="s">
        <v>52</v>
      </c>
      <c r="C31">
        <v>12</v>
      </c>
      <c r="D31">
        <v>30</v>
      </c>
      <c r="E31">
        <v>15</v>
      </c>
      <c r="F31">
        <v>25</v>
      </c>
      <c r="G31">
        <f>SUM(C31:F31)/4</f>
        <v>20.5</v>
      </c>
    </row>
    <row r="32" spans="1:11" x14ac:dyDescent="0.3">
      <c r="A32" s="2" t="s">
        <v>59</v>
      </c>
      <c r="B32" s="2" t="s">
        <v>60</v>
      </c>
      <c r="C32" s="2">
        <v>75</v>
      </c>
      <c r="D32" s="2">
        <v>90</v>
      </c>
      <c r="E32" s="2">
        <v>67</v>
      </c>
      <c r="F32" s="2">
        <v>75</v>
      </c>
      <c r="G32" s="2">
        <f>SUM(C32:F32)/4</f>
        <v>76.75</v>
      </c>
      <c r="H32" s="2"/>
      <c r="I32" s="2"/>
      <c r="J32" s="2"/>
      <c r="K32" s="2"/>
    </row>
    <row r="33" spans="1:11" x14ac:dyDescent="0.3">
      <c r="A33" t="s">
        <v>82</v>
      </c>
      <c r="B33" t="s">
        <v>54</v>
      </c>
      <c r="C33">
        <v>3</v>
      </c>
      <c r="D33">
        <v>4</v>
      </c>
      <c r="E33">
        <v>3</v>
      </c>
      <c r="F33">
        <v>2</v>
      </c>
      <c r="G33">
        <f>SUM(C33:F33)/4</f>
        <v>3</v>
      </c>
    </row>
    <row r="34" spans="1:11" x14ac:dyDescent="0.3">
      <c r="A34" s="2" t="s">
        <v>61</v>
      </c>
      <c r="B34" s="2" t="s">
        <v>88</v>
      </c>
      <c r="C34" s="2">
        <f>SUM(C35:C37)</f>
        <v>33</v>
      </c>
      <c r="D34" s="2">
        <f t="shared" ref="D34:G34" si="5">SUM(D35:D37)</f>
        <v>41</v>
      </c>
      <c r="E34" s="2">
        <f t="shared" si="5"/>
        <v>46</v>
      </c>
      <c r="F34" s="2">
        <f t="shared" si="5"/>
        <v>58</v>
      </c>
      <c r="G34" s="2">
        <f t="shared" si="5"/>
        <v>44.5</v>
      </c>
      <c r="H34" s="2"/>
      <c r="I34" s="2"/>
      <c r="J34" s="2"/>
      <c r="K34" s="2"/>
    </row>
    <row r="35" spans="1:11" x14ac:dyDescent="0.3">
      <c r="A35" t="s">
        <v>62</v>
      </c>
      <c r="B35" t="s">
        <v>94</v>
      </c>
      <c r="C35">
        <v>20</v>
      </c>
      <c r="D35">
        <v>25</v>
      </c>
      <c r="E35">
        <v>30</v>
      </c>
      <c r="F35">
        <v>40</v>
      </c>
      <c r="G35">
        <f>SUM(C35:F35)/4</f>
        <v>28.75</v>
      </c>
    </row>
    <row r="36" spans="1:11" x14ac:dyDescent="0.3">
      <c r="A36" s="2" t="s">
        <v>63</v>
      </c>
      <c r="B36" s="2" t="s">
        <v>95</v>
      </c>
      <c r="C36" s="2">
        <v>7</v>
      </c>
      <c r="D36" s="2">
        <v>8</v>
      </c>
      <c r="E36" s="2">
        <v>9</v>
      </c>
      <c r="F36" s="2">
        <v>9</v>
      </c>
      <c r="G36" s="2">
        <f>SUM(C36:F36)/4</f>
        <v>8.25</v>
      </c>
      <c r="H36" s="2"/>
      <c r="I36" s="2"/>
      <c r="J36" s="2"/>
      <c r="K36" s="2"/>
    </row>
    <row r="37" spans="1:11" x14ac:dyDescent="0.3">
      <c r="A37" s="6" t="s">
        <v>83</v>
      </c>
      <c r="B37" s="6" t="s">
        <v>96</v>
      </c>
      <c r="C37">
        <v>6</v>
      </c>
      <c r="D37">
        <v>8</v>
      </c>
      <c r="E37">
        <v>7</v>
      </c>
      <c r="F37">
        <v>9</v>
      </c>
      <c r="G37">
        <f>SUM(C37:F37)/4</f>
        <v>7.5</v>
      </c>
    </row>
    <row r="38" spans="1:11" x14ac:dyDescent="0.3">
      <c r="A38" s="3" t="s">
        <v>64</v>
      </c>
      <c r="B38" s="3" t="s">
        <v>65</v>
      </c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t="s">
        <v>66</v>
      </c>
      <c r="B39" t="s">
        <v>91</v>
      </c>
      <c r="C39">
        <v>4</v>
      </c>
      <c r="D39">
        <v>4</v>
      </c>
      <c r="E39">
        <v>7</v>
      </c>
      <c r="F39">
        <v>5.5</v>
      </c>
    </row>
    <row r="40" spans="1:11" x14ac:dyDescent="0.3">
      <c r="A40" s="2" t="s">
        <v>67</v>
      </c>
      <c r="B40" s="2" t="s">
        <v>90</v>
      </c>
      <c r="C40" s="2">
        <v>6</v>
      </c>
      <c r="D40" s="2">
        <v>8</v>
      </c>
      <c r="E40" s="2">
        <v>6.5</v>
      </c>
      <c r="F40" s="2">
        <v>5</v>
      </c>
      <c r="G40" s="2"/>
      <c r="H40" s="2"/>
      <c r="I40" s="2"/>
      <c r="J40" s="2"/>
      <c r="K40" s="2"/>
    </row>
    <row r="41" spans="1:11" x14ac:dyDescent="0.3">
      <c r="A41" t="s">
        <v>68</v>
      </c>
      <c r="B41" t="s">
        <v>89</v>
      </c>
      <c r="C41">
        <v>2</v>
      </c>
      <c r="D41">
        <v>1</v>
      </c>
      <c r="E41">
        <v>1</v>
      </c>
      <c r="F41">
        <v>1</v>
      </c>
      <c r="G41">
        <f>SUM(C41:F41)/4</f>
        <v>1.25</v>
      </c>
    </row>
    <row r="42" spans="1:11" x14ac:dyDescent="0.3">
      <c r="A42" s="2" t="s">
        <v>69</v>
      </c>
      <c r="B42" s="2" t="s">
        <v>97</v>
      </c>
      <c r="C42" s="2">
        <v>25</v>
      </c>
      <c r="D42" s="2">
        <v>20</v>
      </c>
      <c r="E42" s="2">
        <v>20</v>
      </c>
      <c r="F42" s="2">
        <v>15</v>
      </c>
      <c r="G42" s="2"/>
      <c r="H42" s="2"/>
      <c r="I42" s="2"/>
      <c r="J42" s="2"/>
      <c r="K42" s="2"/>
    </row>
    <row r="43" spans="1:11" x14ac:dyDescent="0.3">
      <c r="A43" t="s">
        <v>85</v>
      </c>
      <c r="B43" t="s">
        <v>84</v>
      </c>
      <c r="C43">
        <v>10</v>
      </c>
      <c r="D43">
        <v>10</v>
      </c>
      <c r="E43">
        <v>10</v>
      </c>
      <c r="F43">
        <v>7</v>
      </c>
    </row>
    <row r="44" spans="1:11" x14ac:dyDescent="0.3">
      <c r="A44" s="3" t="s">
        <v>70</v>
      </c>
      <c r="B44" s="3" t="s">
        <v>71</v>
      </c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3">
      <c r="A45" t="s">
        <v>72</v>
      </c>
      <c r="B45" t="s">
        <v>73</v>
      </c>
      <c r="C45">
        <v>27</v>
      </c>
      <c r="D45">
        <v>20</v>
      </c>
      <c r="E45">
        <v>22</v>
      </c>
      <c r="F45">
        <v>17</v>
      </c>
      <c r="G45">
        <f>SUM(C45:F45)/4</f>
        <v>21.5</v>
      </c>
    </row>
    <row r="46" spans="1:11" x14ac:dyDescent="0.3">
      <c r="A46" s="2" t="s">
        <v>74</v>
      </c>
      <c r="B46" s="2" t="s">
        <v>75</v>
      </c>
      <c r="C46" s="2"/>
      <c r="D46" s="2"/>
      <c r="E46" s="2"/>
      <c r="F46" s="2"/>
      <c r="G46" s="2"/>
      <c r="H46" s="2"/>
      <c r="I46" s="2"/>
      <c r="J46" s="2"/>
      <c r="K46" s="2"/>
    </row>
  </sheetData>
  <mergeCells count="7">
    <mergeCell ref="K1:K2"/>
    <mergeCell ref="A1:A2"/>
    <mergeCell ref="B1:B2"/>
    <mergeCell ref="C1:F1"/>
    <mergeCell ref="H1:H2"/>
    <mergeCell ref="I1:I2"/>
    <mergeCell ref="J1:J2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Aufwandschätzung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H</cp:lastModifiedBy>
  <dcterms:created xsi:type="dcterms:W3CDTF">2025-11-14T11:55:10Z</dcterms:created>
  <dcterms:modified xsi:type="dcterms:W3CDTF">2025-11-14T16:12:52Z</dcterms:modified>
</cp:coreProperties>
</file>