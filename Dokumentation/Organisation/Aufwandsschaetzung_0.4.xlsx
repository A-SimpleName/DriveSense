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2025_26\SYPRET\DriveSense\Dokumentation\Organisation\"/>
    </mc:Choice>
  </mc:AlternateContent>
  <xr:revisionPtr revIDLastSave="0" documentId="13_ncr:1_{FE10F095-419C-4132-830B-243B46D87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fwandschätzung" sheetId="1" r:id="rId1"/>
  </sheets>
  <definedNames>
    <definedName name="_xlnm.Print_Area" localSheetId="0">Aufwandschätzung!$A$1:$K$49</definedName>
    <definedName name="_xlnm.Print_Titles" localSheetId="0">Aufwandschätzung!$1:$1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G14" i="1"/>
  <c r="D15" i="1"/>
  <c r="E15" i="1"/>
  <c r="F15" i="1"/>
  <c r="C15" i="1"/>
  <c r="D19" i="1"/>
  <c r="E19" i="1"/>
  <c r="F19" i="1"/>
  <c r="C19" i="1"/>
  <c r="D40" i="1"/>
  <c r="E40" i="1"/>
  <c r="F40" i="1"/>
  <c r="C40" i="1"/>
  <c r="D46" i="1"/>
  <c r="E46" i="1"/>
  <c r="F46" i="1"/>
  <c r="C46" i="1"/>
  <c r="G3" i="1"/>
  <c r="G4" i="1"/>
  <c r="G5" i="1"/>
  <c r="G6" i="1"/>
  <c r="G7" i="1"/>
  <c r="G8" i="1"/>
  <c r="G10" i="1"/>
  <c r="G11" i="1"/>
  <c r="G12" i="1"/>
  <c r="G13" i="1"/>
  <c r="G16" i="1"/>
  <c r="G17" i="1"/>
  <c r="G18" i="1"/>
  <c r="G20" i="1"/>
  <c r="G21" i="1"/>
  <c r="G22" i="1"/>
  <c r="G23" i="1"/>
  <c r="G24" i="1"/>
  <c r="G28" i="1"/>
  <c r="G29" i="1"/>
  <c r="G30" i="1"/>
  <c r="G32" i="1"/>
  <c r="G33" i="1"/>
  <c r="G34" i="1"/>
  <c r="G35" i="1"/>
  <c r="G37" i="1"/>
  <c r="G38" i="1"/>
  <c r="G39" i="1"/>
  <c r="G41" i="1"/>
  <c r="G42" i="1"/>
  <c r="G43" i="1"/>
  <c r="G44" i="1"/>
  <c r="G45" i="1"/>
  <c r="G47" i="1"/>
  <c r="G48" i="1"/>
  <c r="D36" i="1"/>
  <c r="E36" i="1"/>
  <c r="F36" i="1"/>
  <c r="C36" i="1"/>
  <c r="D31" i="1"/>
  <c r="E31" i="1"/>
  <c r="F31" i="1"/>
  <c r="C31" i="1"/>
  <c r="D27" i="1"/>
  <c r="E27" i="1"/>
  <c r="F27" i="1"/>
  <c r="C27" i="1"/>
  <c r="D2" i="1"/>
  <c r="E2" i="1"/>
  <c r="F2" i="1"/>
  <c r="C2" i="1"/>
  <c r="G36" i="1" l="1"/>
  <c r="G27" i="1"/>
  <c r="G31" i="1"/>
  <c r="G46" i="1"/>
  <c r="G19" i="1"/>
  <c r="G2" i="1"/>
  <c r="G40" i="1"/>
  <c r="G15" i="1"/>
  <c r="E26" i="1"/>
  <c r="E25" i="1" s="1"/>
  <c r="E49" i="1" s="1"/>
  <c r="D26" i="1"/>
  <c r="D25" i="1" s="1"/>
  <c r="D49" i="1" s="1"/>
  <c r="C26" i="1"/>
  <c r="F26" i="1"/>
  <c r="F25" i="1" s="1"/>
  <c r="F49" i="1" s="1"/>
  <c r="C25" i="1" l="1"/>
  <c r="C49" i="1" s="1"/>
  <c r="G26" i="1"/>
  <c r="G25" i="1"/>
  <c r="G49" i="1" s="1"/>
</calcChain>
</file>

<file path=xl/sharedStrings.xml><?xml version="1.0" encoding="utf-8"?>
<sst xmlns="http://schemas.openxmlformats.org/spreadsheetml/2006/main" count="106" uniqueCount="103">
  <si>
    <t>Ebene</t>
  </si>
  <si>
    <t>Aufgabe</t>
  </si>
  <si>
    <t>Ist-Stunden</t>
  </si>
  <si>
    <t>Abweichung (Std.)</t>
  </si>
  <si>
    <t>Abweichung (%)</t>
  </si>
  <si>
    <t>Anmerkung</t>
  </si>
  <si>
    <t>1</t>
  </si>
  <si>
    <t>Projektmanagement</t>
  </si>
  <si>
    <t>1.1</t>
  </si>
  <si>
    <t>Zeitverwaltung mit Clockify aufsetzen</t>
  </si>
  <si>
    <t>1.2</t>
  </si>
  <si>
    <t>Git Repository für Datei- und Versionsverwaltung erstellen</t>
  </si>
  <si>
    <t>1.3</t>
  </si>
  <si>
    <t>Aufgabenverteilung festlegen</t>
  </si>
  <si>
    <t>1.4</t>
  </si>
  <si>
    <t>2</t>
  </si>
  <si>
    <t>Planung</t>
  </si>
  <si>
    <t>2.1</t>
  </si>
  <si>
    <t>Projektstrukturplan erstellen</t>
  </si>
  <si>
    <t>2.2</t>
  </si>
  <si>
    <t>Aufwandsschätzung durchführen</t>
  </si>
  <si>
    <t>2.3</t>
  </si>
  <si>
    <t>Projektdefinition erstellen</t>
  </si>
  <si>
    <t>3</t>
  </si>
  <si>
    <t>Analyse</t>
  </si>
  <si>
    <t>3.1</t>
  </si>
  <si>
    <t>Projektidee diskutieren</t>
  </si>
  <si>
    <t>3.2</t>
  </si>
  <si>
    <t>Funktionsumfang definieren</t>
  </si>
  <si>
    <t>3.3</t>
  </si>
  <si>
    <t>ER-Diagramm für Datenbank erstellen</t>
  </si>
  <si>
    <t>4</t>
  </si>
  <si>
    <t>Design</t>
  </si>
  <si>
    <t>4.1</t>
  </si>
  <si>
    <t>Logo erstellen</t>
  </si>
  <si>
    <t>4.2</t>
  </si>
  <si>
    <t>Farbschema festlegen</t>
  </si>
  <si>
    <t>4.3</t>
  </si>
  <si>
    <t>Benutzeroberfläche skizzieren</t>
  </si>
  <si>
    <t>4.4</t>
  </si>
  <si>
    <t>Datenbankschema erstellen</t>
  </si>
  <si>
    <t>4.5</t>
  </si>
  <si>
    <t>Projektplakat erstellen</t>
  </si>
  <si>
    <t>5</t>
  </si>
  <si>
    <t>Implementierung</t>
  </si>
  <si>
    <t>5.1</t>
  </si>
  <si>
    <t>5.1.1</t>
  </si>
  <si>
    <t>Web-App</t>
  </si>
  <si>
    <t>5.1.1.1</t>
  </si>
  <si>
    <t>Fahrtenübersicht</t>
  </si>
  <si>
    <t>5.1.1.2</t>
  </si>
  <si>
    <t>Exportvorgang</t>
  </si>
  <si>
    <t>5.1.1.3</t>
  </si>
  <si>
    <t>User-Login/Register</t>
  </si>
  <si>
    <t>5.1.2</t>
  </si>
  <si>
    <t>App</t>
  </si>
  <si>
    <t>5.1.2.1</t>
  </si>
  <si>
    <t>5.1.2.2</t>
  </si>
  <si>
    <t>5.1.2.3</t>
  </si>
  <si>
    <t>Fahrten-Tracking mit GPS</t>
  </si>
  <si>
    <t>5.2</t>
  </si>
  <si>
    <t>5.2.1</t>
  </si>
  <si>
    <t>5.2.2</t>
  </si>
  <si>
    <t>6</t>
  </si>
  <si>
    <t>Test</t>
  </si>
  <si>
    <t>6.1</t>
  </si>
  <si>
    <t>6.2</t>
  </si>
  <si>
    <t>6.3</t>
  </si>
  <si>
    <t>6.4</t>
  </si>
  <si>
    <t>7</t>
  </si>
  <si>
    <t>Abschluss</t>
  </si>
  <si>
    <t>7.1</t>
  </si>
  <si>
    <t>Dokumentation schreiben</t>
  </si>
  <si>
    <t>7.2</t>
  </si>
  <si>
    <t>Projekt präsentieren</t>
  </si>
  <si>
    <t>Eric</t>
  </si>
  <si>
    <t>Christof</t>
  </si>
  <si>
    <t>Daniel</t>
  </si>
  <si>
    <t>Niklas</t>
  </si>
  <si>
    <t>1.5</t>
  </si>
  <si>
    <t>Kickoff-Meeting planen und durchführen</t>
  </si>
  <si>
    <t>5.1.2.4</t>
  </si>
  <si>
    <t>5.2.3</t>
  </si>
  <si>
    <t>Abschlussreview durchführen</t>
  </si>
  <si>
    <t>6.5</t>
  </si>
  <si>
    <t>CM-Plan erstellen</t>
  </si>
  <si>
    <t xml:space="preserve">Frontend </t>
  </si>
  <si>
    <t xml:space="preserve">Backend </t>
  </si>
  <si>
    <t>Usability-Test / Nutzertest</t>
  </si>
  <si>
    <t>Integrationstest Backend</t>
  </si>
  <si>
    <t>Funktionstest (Web &amp; App)</t>
  </si>
  <si>
    <t>MySQL Datenbank implementieren</t>
  </si>
  <si>
    <t>Datenaustausch mit WebApp und App ermöglichen</t>
  </si>
  <si>
    <t>Validierung der übergebenen Daten implementieren</t>
  </si>
  <si>
    <t>Bugfixing und Codeoptimierung</t>
  </si>
  <si>
    <t>1.6</t>
  </si>
  <si>
    <t>Entwicklungsumgebungen einrichten</t>
  </si>
  <si>
    <t>2.4</t>
  </si>
  <si>
    <t>Wissen für App Erstellung aneignen</t>
  </si>
  <si>
    <t>Ø Schätzung (Soll-MA-Stunden)</t>
  </si>
  <si>
    <t>Gesamt</t>
  </si>
  <si>
    <t>2.5</t>
  </si>
  <si>
    <t>Zeitplan erstellen mit MS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</si>
</sst>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FFD966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0" fontId="0" fillId="3" borderId="2" xfId="0" applyFill="1" applyBorder="1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D966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9D87B-F32E-4C26-BAE3-4976F948F37B}" name="Tabelle2" displayName="Tabelle2" ref="A1:K48" totalsRowShown="0" headerRowDxfId="0">
  <autoFilter ref="A1:K48" xr:uid="{1449D87B-F32E-4C26-BAE3-4976F948F37B}"/>
  <tableColumns count="11">
    <tableColumn id="1" xr3:uid="{E8F675F9-1C93-40E7-8E9E-8B166EAF1C74}" name="Ebene"/>
    <tableColumn id="2" xr3:uid="{B6EE27EE-76B8-465C-8058-B5C39BDC2371}" name="Aufgabe"/>
    <tableColumn id="3" xr3:uid="{1890D48C-756E-4C90-B565-6D8A9FF058EC}" name="Eric"/>
    <tableColumn id="4" xr3:uid="{DCBC915B-FBA7-408B-965C-F00644F48D7D}" name="Christof"/>
    <tableColumn id="5" xr3:uid="{DCC1A44A-6BBE-493F-851A-578DCF9BE266}" name="Daniel"/>
    <tableColumn id="6" xr3:uid="{FC590683-3EA5-4EC9-B287-5336B779348D}" name="Niklas"/>
    <tableColumn id="7" xr3:uid="{15D9E014-198F-4E07-BF5C-FDDFE788A919}" name="Ø Schätzung (Soll-MA-Stunden)">
      <calculatedColumnFormula>AVERAGE(Tabelle2[[#This Row],[Niklas]]:Tabelle2[[#This Row],[Eric]])</calculatedColumnFormula>
    </tableColumn>
    <tableColumn id="8" xr3:uid="{A739C55C-971E-4CD4-B52C-0D40350E395B}" name="Ist-Stunden"/>
    <tableColumn id="9" xr3:uid="{0895D37D-EA7F-47C8-AD16-6143B28C06CC}" name="Abweichung (Std.)"/>
    <tableColumn id="10" xr3:uid="{64A9A77C-10FA-460A-B67E-CD87C00870E6}" name="Abweichung (%)"/>
    <tableColumn id="11" xr3:uid="{BBCDE49C-791F-4C3E-97BF-27B808DE6CDA}" name="Anmerk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22" zoomScale="85" zoomScaleNormal="85" workbookViewId="0">
      <selection activeCell="J10" sqref="J10"/>
    </sheetView>
  </sheetViews>
  <sheetFormatPr baseColWidth="10" defaultColWidth="9.109375" defaultRowHeight="14.4" x14ac:dyDescent="0.3"/>
  <cols>
    <col min="1" max="1" width="9.5546875" customWidth="1"/>
    <col min="2" max="2" width="60" customWidth="1"/>
    <col min="3" max="3" width="26.109375" customWidth="1"/>
    <col min="4" max="6" width="13.5546875" customWidth="1"/>
    <col min="7" max="7" width="25.109375" customWidth="1"/>
    <col min="8" max="8" width="15.88671875" customWidth="1"/>
    <col min="9" max="9" width="19" customWidth="1"/>
    <col min="10" max="10" width="16.5546875" customWidth="1"/>
    <col min="11" max="11" width="12.77734375" customWidth="1"/>
  </cols>
  <sheetData>
    <row r="1" spans="1:11" x14ac:dyDescent="0.3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99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3">
      <c r="A2" t="s">
        <v>6</v>
      </c>
      <c r="B2" t="s">
        <v>7</v>
      </c>
      <c r="C2">
        <f>SUM(C3:C8)</f>
        <v>34.5</v>
      </c>
      <c r="D2">
        <f>SUM(D3:D8)</f>
        <v>33</v>
      </c>
      <c r="E2">
        <f>SUM(E3:E8)</f>
        <v>36.5</v>
      </c>
      <c r="F2">
        <f>SUM(F3:F8)</f>
        <v>30</v>
      </c>
      <c r="G2">
        <f>AVERAGE(Tabelle2[[#This Row],[Niklas]]:Tabelle2[[#This Row],[Eric]])</f>
        <v>33.5</v>
      </c>
    </row>
    <row r="3" spans="1:11" x14ac:dyDescent="0.3">
      <c r="A3" t="s">
        <v>8</v>
      </c>
      <c r="B3" t="s">
        <v>9</v>
      </c>
      <c r="C3">
        <v>2.5</v>
      </c>
      <c r="D3">
        <v>2.5</v>
      </c>
      <c r="E3">
        <v>2.5</v>
      </c>
      <c r="F3">
        <v>2.5</v>
      </c>
      <c r="G3">
        <f>AVERAGE(Tabelle2[[#This Row],[Niklas]]:Tabelle2[[#This Row],[Eric]])</f>
        <v>2.5</v>
      </c>
    </row>
    <row r="4" spans="1:11" x14ac:dyDescent="0.3">
      <c r="A4" t="s">
        <v>10</v>
      </c>
      <c r="B4" t="s">
        <v>11</v>
      </c>
      <c r="C4">
        <v>6</v>
      </c>
      <c r="D4">
        <v>8</v>
      </c>
      <c r="E4">
        <v>7</v>
      </c>
      <c r="F4">
        <v>4</v>
      </c>
      <c r="G4">
        <f>AVERAGE(Tabelle2[[#This Row],[Niklas]]:Tabelle2[[#This Row],[Eric]])</f>
        <v>6.25</v>
      </c>
    </row>
    <row r="5" spans="1:11" x14ac:dyDescent="0.3">
      <c r="A5" s="2" t="s">
        <v>12</v>
      </c>
      <c r="B5" t="s">
        <v>96</v>
      </c>
      <c r="C5">
        <v>7</v>
      </c>
      <c r="D5">
        <v>6</v>
      </c>
      <c r="E5">
        <v>7</v>
      </c>
      <c r="F5">
        <v>6</v>
      </c>
      <c r="G5">
        <f>AVERAGE(Tabelle2[[#This Row],[Niklas]]:Tabelle2[[#This Row],[Eric]])</f>
        <v>6.5</v>
      </c>
    </row>
    <row r="6" spans="1:11" x14ac:dyDescent="0.3">
      <c r="A6" s="2" t="s">
        <v>14</v>
      </c>
      <c r="B6" t="s">
        <v>13</v>
      </c>
      <c r="C6">
        <v>2</v>
      </c>
      <c r="D6">
        <v>2.5</v>
      </c>
      <c r="E6">
        <v>1</v>
      </c>
      <c r="F6">
        <v>2.5</v>
      </c>
      <c r="G6">
        <f>AVERAGE(Tabelle2[[#This Row],[Niklas]]:Tabelle2[[#This Row],[Eric]])</f>
        <v>2</v>
      </c>
    </row>
    <row r="7" spans="1:11" x14ac:dyDescent="0.3">
      <c r="A7" s="2" t="s">
        <v>79</v>
      </c>
      <c r="B7" t="s">
        <v>85</v>
      </c>
      <c r="C7">
        <v>7</v>
      </c>
      <c r="D7">
        <v>6</v>
      </c>
      <c r="E7">
        <v>7</v>
      </c>
      <c r="F7">
        <v>6</v>
      </c>
      <c r="G7">
        <f>AVERAGE(Tabelle2[[#This Row],[Niklas]]:Tabelle2[[#This Row],[Eric]])</f>
        <v>6.5</v>
      </c>
    </row>
    <row r="8" spans="1:11" x14ac:dyDescent="0.3">
      <c r="A8" s="2" t="s">
        <v>95</v>
      </c>
      <c r="B8" t="s">
        <v>80</v>
      </c>
      <c r="C8">
        <v>10</v>
      </c>
      <c r="D8">
        <v>8</v>
      </c>
      <c r="E8">
        <v>12</v>
      </c>
      <c r="F8">
        <v>9</v>
      </c>
      <c r="G8">
        <f>AVERAGE(Tabelle2[[#This Row],[Niklas]]:Tabelle2[[#This Row],[Eric]])</f>
        <v>9.75</v>
      </c>
    </row>
    <row r="9" spans="1:11" x14ac:dyDescent="0.3">
      <c r="A9" s="3" t="s">
        <v>15</v>
      </c>
      <c r="B9" s="3" t="s">
        <v>16</v>
      </c>
      <c r="C9" s="3">
        <f t="shared" ref="C9:F9" si="0">SUM(C10:C14)</f>
        <v>61</v>
      </c>
      <c r="D9" s="3">
        <f t="shared" si="0"/>
        <v>59</v>
      </c>
      <c r="E9" s="3">
        <f t="shared" si="0"/>
        <v>64</v>
      </c>
      <c r="F9" s="3">
        <f t="shared" si="0"/>
        <v>59</v>
      </c>
      <c r="G9" s="3">
        <f>SUM(G10:G14)</f>
        <v>60.75</v>
      </c>
      <c r="H9" s="3"/>
      <c r="I9" s="3"/>
      <c r="J9" s="3"/>
      <c r="K9" s="3"/>
    </row>
    <row r="10" spans="1:11" x14ac:dyDescent="0.3">
      <c r="A10" t="s">
        <v>17</v>
      </c>
      <c r="B10" t="s">
        <v>18</v>
      </c>
      <c r="C10">
        <v>14</v>
      </c>
      <c r="D10">
        <v>14</v>
      </c>
      <c r="E10">
        <v>14</v>
      </c>
      <c r="F10">
        <v>15</v>
      </c>
      <c r="G10">
        <f>AVERAGE(Tabelle2[[#This Row],[Niklas]]:Tabelle2[[#This Row],[Eric]])</f>
        <v>14.25</v>
      </c>
    </row>
    <row r="11" spans="1:11" x14ac:dyDescent="0.3">
      <c r="A11" t="s">
        <v>19</v>
      </c>
      <c r="B11" t="s">
        <v>20</v>
      </c>
      <c r="C11">
        <v>7</v>
      </c>
      <c r="D11">
        <v>6</v>
      </c>
      <c r="E11">
        <v>6</v>
      </c>
      <c r="F11">
        <v>7</v>
      </c>
      <c r="G11">
        <f>AVERAGE(Tabelle2[[#This Row],[Niklas]]:Tabelle2[[#This Row],[Eric]])</f>
        <v>6.5</v>
      </c>
    </row>
    <row r="12" spans="1:11" x14ac:dyDescent="0.3">
      <c r="A12" t="s">
        <v>21</v>
      </c>
      <c r="B12" t="s">
        <v>22</v>
      </c>
      <c r="C12">
        <v>14</v>
      </c>
      <c r="D12">
        <v>12</v>
      </c>
      <c r="E12">
        <v>15</v>
      </c>
      <c r="F12">
        <v>16</v>
      </c>
      <c r="G12">
        <f>AVERAGE(Tabelle2[[#This Row],[Niklas]]:Tabelle2[[#This Row],[Eric]])</f>
        <v>14.25</v>
      </c>
    </row>
    <row r="13" spans="1:11" x14ac:dyDescent="0.3">
      <c r="A13" s="2" t="s">
        <v>97</v>
      </c>
      <c r="B13" t="s">
        <v>98</v>
      </c>
      <c r="C13">
        <v>20</v>
      </c>
      <c r="D13">
        <v>22</v>
      </c>
      <c r="E13">
        <v>25</v>
      </c>
      <c r="F13">
        <v>18</v>
      </c>
      <c r="G13">
        <f>AVERAGE(Tabelle2[[#This Row],[Niklas]]:Tabelle2[[#This Row],[Eric]])</f>
        <v>21.25</v>
      </c>
    </row>
    <row r="14" spans="1:11" x14ac:dyDescent="0.3">
      <c r="A14" s="2" t="s">
        <v>101</v>
      </c>
      <c r="B14" t="s">
        <v>102</v>
      </c>
      <c r="C14">
        <v>6</v>
      </c>
      <c r="D14">
        <v>5</v>
      </c>
      <c r="E14">
        <v>4</v>
      </c>
      <c r="F14">
        <v>3</v>
      </c>
      <c r="G14">
        <f>AVERAGE(Tabelle2[[#This Row],[Niklas]]:Tabelle2[[#This Row],[Eric]])</f>
        <v>4.5</v>
      </c>
    </row>
    <row r="15" spans="1:11" x14ac:dyDescent="0.3">
      <c r="A15" s="3" t="s">
        <v>23</v>
      </c>
      <c r="B15" s="3" t="s">
        <v>24</v>
      </c>
      <c r="C15" s="3">
        <f>SUM(C16:C18)</f>
        <v>10</v>
      </c>
      <c r="D15" s="3">
        <f t="shared" ref="D15:G15" si="1">SUM(D16:D18)</f>
        <v>10</v>
      </c>
      <c r="E15" s="3">
        <f t="shared" si="1"/>
        <v>10</v>
      </c>
      <c r="F15" s="3">
        <f t="shared" si="1"/>
        <v>10</v>
      </c>
      <c r="G15" s="3">
        <f t="shared" si="1"/>
        <v>10</v>
      </c>
      <c r="H15" s="3"/>
      <c r="I15" s="3"/>
      <c r="J15" s="3"/>
      <c r="K15" s="3"/>
    </row>
    <row r="16" spans="1:11" x14ac:dyDescent="0.3">
      <c r="A16" t="s">
        <v>25</v>
      </c>
      <c r="B16" t="s">
        <v>26</v>
      </c>
      <c r="C16">
        <v>2.5</v>
      </c>
      <c r="D16">
        <v>3</v>
      </c>
      <c r="E16">
        <v>2.5</v>
      </c>
      <c r="F16">
        <v>3</v>
      </c>
      <c r="G16">
        <f>AVERAGE(Tabelle2[[#This Row],[Niklas]]:Tabelle2[[#This Row],[Eric]])</f>
        <v>2.75</v>
      </c>
    </row>
    <row r="17" spans="1:11" x14ac:dyDescent="0.3">
      <c r="A17" t="s">
        <v>27</v>
      </c>
      <c r="B17" t="s">
        <v>28</v>
      </c>
      <c r="C17">
        <v>2.5</v>
      </c>
      <c r="D17">
        <v>3</v>
      </c>
      <c r="E17">
        <v>2.5</v>
      </c>
      <c r="F17">
        <v>3</v>
      </c>
      <c r="G17">
        <f>AVERAGE(Tabelle2[[#This Row],[Niklas]]:Tabelle2[[#This Row],[Eric]])</f>
        <v>2.75</v>
      </c>
    </row>
    <row r="18" spans="1:11" x14ac:dyDescent="0.3">
      <c r="A18" t="s">
        <v>29</v>
      </c>
      <c r="B18" t="s">
        <v>30</v>
      </c>
      <c r="C18">
        <v>5</v>
      </c>
      <c r="D18">
        <v>4</v>
      </c>
      <c r="E18">
        <v>5</v>
      </c>
      <c r="F18">
        <v>4</v>
      </c>
      <c r="G18">
        <f>AVERAGE(Tabelle2[[#This Row],[Niklas]]:Tabelle2[[#This Row],[Eric]])</f>
        <v>4.5</v>
      </c>
    </row>
    <row r="19" spans="1:11" x14ac:dyDescent="0.3">
      <c r="A19" s="3" t="s">
        <v>31</v>
      </c>
      <c r="B19" s="3" t="s">
        <v>32</v>
      </c>
      <c r="C19" s="3">
        <f>SUM(C20:C24)</f>
        <v>19</v>
      </c>
      <c r="D19" s="3">
        <f t="shared" ref="D19:G19" si="2">SUM(D20:D24)</f>
        <v>20.5</v>
      </c>
      <c r="E19" s="3">
        <f t="shared" si="2"/>
        <v>16</v>
      </c>
      <c r="F19" s="3">
        <f t="shared" si="2"/>
        <v>17.5</v>
      </c>
      <c r="G19" s="3">
        <f t="shared" si="2"/>
        <v>18.25</v>
      </c>
      <c r="H19" s="3"/>
      <c r="I19" s="3"/>
      <c r="J19" s="3"/>
      <c r="K19" s="3"/>
    </row>
    <row r="20" spans="1:11" x14ac:dyDescent="0.3">
      <c r="A20" t="s">
        <v>33</v>
      </c>
      <c r="B20" t="s">
        <v>34</v>
      </c>
      <c r="C20">
        <v>1</v>
      </c>
      <c r="D20">
        <v>2</v>
      </c>
      <c r="E20">
        <v>2</v>
      </c>
      <c r="F20">
        <v>1</v>
      </c>
      <c r="G20">
        <f>AVERAGE(Tabelle2[[#This Row],[Niklas]]:Tabelle2[[#This Row],[Eric]])</f>
        <v>1.5</v>
      </c>
    </row>
    <row r="21" spans="1:11" x14ac:dyDescent="0.3">
      <c r="A21" t="s">
        <v>35</v>
      </c>
      <c r="B21" t="s">
        <v>36</v>
      </c>
      <c r="C21">
        <v>1</v>
      </c>
      <c r="D21">
        <v>0.5</v>
      </c>
      <c r="E21">
        <v>1</v>
      </c>
      <c r="F21">
        <v>0.5</v>
      </c>
      <c r="G21">
        <f>AVERAGE(Tabelle2[[#This Row],[Niklas]]:Tabelle2[[#This Row],[Eric]])</f>
        <v>0.75</v>
      </c>
    </row>
    <row r="22" spans="1:11" x14ac:dyDescent="0.3">
      <c r="A22" t="s">
        <v>37</v>
      </c>
      <c r="B22" t="s">
        <v>38</v>
      </c>
      <c r="C22">
        <v>7</v>
      </c>
      <c r="D22">
        <v>8</v>
      </c>
      <c r="E22">
        <v>5</v>
      </c>
      <c r="F22">
        <v>6</v>
      </c>
      <c r="G22">
        <f>AVERAGE(Tabelle2[[#This Row],[Niklas]]:Tabelle2[[#This Row],[Eric]])</f>
        <v>6.5</v>
      </c>
    </row>
    <row r="23" spans="1:11" x14ac:dyDescent="0.3">
      <c r="A23" t="s">
        <v>39</v>
      </c>
      <c r="B23" t="s">
        <v>40</v>
      </c>
      <c r="C23">
        <v>3</v>
      </c>
      <c r="D23">
        <v>4</v>
      </c>
      <c r="E23">
        <v>3</v>
      </c>
      <c r="F23">
        <v>4</v>
      </c>
      <c r="G23">
        <f>AVERAGE(Tabelle2[[#This Row],[Niklas]]:Tabelle2[[#This Row],[Eric]])</f>
        <v>3.5</v>
      </c>
    </row>
    <row r="24" spans="1:11" x14ac:dyDescent="0.3">
      <c r="A24" t="s">
        <v>41</v>
      </c>
      <c r="B24" t="s">
        <v>42</v>
      </c>
      <c r="C24">
        <v>7</v>
      </c>
      <c r="D24">
        <v>6</v>
      </c>
      <c r="E24">
        <v>5</v>
      </c>
      <c r="F24">
        <v>6</v>
      </c>
      <c r="G24">
        <f>AVERAGE(Tabelle2[[#This Row],[Niklas]]:Tabelle2[[#This Row],[Eric]])</f>
        <v>6</v>
      </c>
    </row>
    <row r="25" spans="1:11" x14ac:dyDescent="0.3">
      <c r="A25" s="3" t="s">
        <v>43</v>
      </c>
      <c r="B25" s="3" t="s">
        <v>44</v>
      </c>
      <c r="C25" s="3">
        <f>C26+C36</f>
        <v>209</v>
      </c>
      <c r="D25" s="3">
        <f t="shared" ref="D25:F25" si="3">D26+D36</f>
        <v>272</v>
      </c>
      <c r="E25" s="3">
        <f t="shared" si="3"/>
        <v>201</v>
      </c>
      <c r="F25" s="3">
        <f t="shared" si="3"/>
        <v>254</v>
      </c>
      <c r="G25" s="3">
        <f>AVERAGE(Tabelle2[[#This Row],[Niklas]]:Tabelle2[[#This Row],[Eric]])</f>
        <v>234</v>
      </c>
      <c r="H25" s="3"/>
      <c r="I25" s="3"/>
      <c r="J25" s="3"/>
      <c r="K25" s="3"/>
    </row>
    <row r="26" spans="1:11" x14ac:dyDescent="0.3">
      <c r="A26" t="s">
        <v>45</v>
      </c>
      <c r="B26" t="s">
        <v>86</v>
      </c>
      <c r="C26">
        <f>C27+C31</f>
        <v>190</v>
      </c>
      <c r="D26">
        <f>D27+D31</f>
        <v>250</v>
      </c>
      <c r="E26">
        <f t="shared" ref="E26:F26" si="4">E27+E31</f>
        <v>178</v>
      </c>
      <c r="F26">
        <f t="shared" si="4"/>
        <v>228</v>
      </c>
      <c r="G26">
        <f>AVERAGE(Tabelle2[[#This Row],[Niklas]]:Tabelle2[[#This Row],[Eric]])</f>
        <v>211.5</v>
      </c>
    </row>
    <row r="27" spans="1:11" x14ac:dyDescent="0.3">
      <c r="A27" t="s">
        <v>46</v>
      </c>
      <c r="B27" t="s">
        <v>47</v>
      </c>
      <c r="C27">
        <f>SUM(C28:C30)</f>
        <v>55</v>
      </c>
      <c r="D27">
        <f t="shared" ref="D27:F27" si="5">SUM(D28:D30)</f>
        <v>66</v>
      </c>
      <c r="E27">
        <f t="shared" si="5"/>
        <v>48</v>
      </c>
      <c r="F27">
        <f t="shared" si="5"/>
        <v>66</v>
      </c>
      <c r="G27">
        <f>AVERAGE(Tabelle2[[#This Row],[Niklas]]:Tabelle2[[#This Row],[Eric]])</f>
        <v>58.75</v>
      </c>
    </row>
    <row r="28" spans="1:11" x14ac:dyDescent="0.3">
      <c r="A28" t="s">
        <v>48</v>
      </c>
      <c r="B28" t="s">
        <v>49</v>
      </c>
      <c r="C28">
        <v>30</v>
      </c>
      <c r="D28">
        <v>45</v>
      </c>
      <c r="E28">
        <v>30</v>
      </c>
      <c r="F28">
        <v>40</v>
      </c>
      <c r="G28">
        <f>AVERAGE(Tabelle2[[#This Row],[Niklas]]:Tabelle2[[#This Row],[Eric]])</f>
        <v>36.25</v>
      </c>
    </row>
    <row r="29" spans="1:11" x14ac:dyDescent="0.3">
      <c r="A29" t="s">
        <v>50</v>
      </c>
      <c r="B29" t="s">
        <v>51</v>
      </c>
      <c r="C29">
        <v>20</v>
      </c>
      <c r="D29">
        <v>16</v>
      </c>
      <c r="E29">
        <v>15</v>
      </c>
      <c r="F29">
        <v>20</v>
      </c>
      <c r="G29">
        <f>AVERAGE(Tabelle2[[#This Row],[Niklas]]:Tabelle2[[#This Row],[Eric]])</f>
        <v>17.75</v>
      </c>
    </row>
    <row r="30" spans="1:11" x14ac:dyDescent="0.3">
      <c r="A30" t="s">
        <v>52</v>
      </c>
      <c r="B30" t="s">
        <v>53</v>
      </c>
      <c r="C30">
        <v>5</v>
      </c>
      <c r="D30">
        <v>5</v>
      </c>
      <c r="E30">
        <v>3</v>
      </c>
      <c r="F30">
        <v>6</v>
      </c>
      <c r="G30">
        <f>AVERAGE(Tabelle2[[#This Row],[Niklas]]:Tabelle2[[#This Row],[Eric]])</f>
        <v>4.75</v>
      </c>
    </row>
    <row r="31" spans="1:11" x14ac:dyDescent="0.3">
      <c r="A31" t="s">
        <v>54</v>
      </c>
      <c r="B31" t="s">
        <v>55</v>
      </c>
      <c r="C31">
        <f>SUM(C32:C35)</f>
        <v>135</v>
      </c>
      <c r="D31">
        <f t="shared" ref="D31:F31" si="6">SUM(D32:D35)</f>
        <v>184</v>
      </c>
      <c r="E31">
        <f t="shared" si="6"/>
        <v>130</v>
      </c>
      <c r="F31">
        <f t="shared" si="6"/>
        <v>162</v>
      </c>
      <c r="G31">
        <f>AVERAGE(Tabelle2[[#This Row],[Niklas]]:Tabelle2[[#This Row],[Eric]])</f>
        <v>152.75</v>
      </c>
    </row>
    <row r="32" spans="1:11" x14ac:dyDescent="0.3">
      <c r="A32" t="s">
        <v>56</v>
      </c>
      <c r="B32" t="s">
        <v>49</v>
      </c>
      <c r="C32">
        <v>45</v>
      </c>
      <c r="D32">
        <v>60</v>
      </c>
      <c r="E32">
        <v>45</v>
      </c>
      <c r="F32">
        <v>60</v>
      </c>
      <c r="G32">
        <f>AVERAGE(Tabelle2[[#This Row],[Niklas]]:Tabelle2[[#This Row],[Eric]])</f>
        <v>52.5</v>
      </c>
    </row>
    <row r="33" spans="1:11" x14ac:dyDescent="0.3">
      <c r="A33" t="s">
        <v>57</v>
      </c>
      <c r="B33" t="s">
        <v>51</v>
      </c>
      <c r="C33">
        <v>12</v>
      </c>
      <c r="D33">
        <v>30</v>
      </c>
      <c r="E33">
        <v>15</v>
      </c>
      <c r="F33">
        <v>25</v>
      </c>
      <c r="G33">
        <f>AVERAGE(Tabelle2[[#This Row],[Niklas]]:Tabelle2[[#This Row],[Eric]])</f>
        <v>20.5</v>
      </c>
    </row>
    <row r="34" spans="1:11" x14ac:dyDescent="0.3">
      <c r="A34" t="s">
        <v>58</v>
      </c>
      <c r="B34" t="s">
        <v>59</v>
      </c>
      <c r="C34">
        <v>75</v>
      </c>
      <c r="D34">
        <v>90</v>
      </c>
      <c r="E34">
        <v>67</v>
      </c>
      <c r="F34">
        <v>75</v>
      </c>
      <c r="G34">
        <f>AVERAGE(Tabelle2[[#This Row],[Niklas]]:Tabelle2[[#This Row],[Eric]])</f>
        <v>76.75</v>
      </c>
    </row>
    <row r="35" spans="1:11" x14ac:dyDescent="0.3">
      <c r="A35" t="s">
        <v>81</v>
      </c>
      <c r="B35" t="s">
        <v>53</v>
      </c>
      <c r="C35">
        <v>3</v>
      </c>
      <c r="D35">
        <v>4</v>
      </c>
      <c r="E35">
        <v>3</v>
      </c>
      <c r="F35">
        <v>2</v>
      </c>
      <c r="G35">
        <f>AVERAGE(Tabelle2[[#This Row],[Niklas]]:Tabelle2[[#This Row],[Eric]])</f>
        <v>3</v>
      </c>
    </row>
    <row r="36" spans="1:11" x14ac:dyDescent="0.3">
      <c r="A36" t="s">
        <v>60</v>
      </c>
      <c r="B36" t="s">
        <v>87</v>
      </c>
      <c r="C36">
        <f>SUM(C37:C39)</f>
        <v>19</v>
      </c>
      <c r="D36">
        <f t="shared" ref="D36:F36" si="7">SUM(D37:D39)</f>
        <v>22</v>
      </c>
      <c r="E36">
        <f t="shared" si="7"/>
        <v>23</v>
      </c>
      <c r="F36">
        <f t="shared" si="7"/>
        <v>26</v>
      </c>
      <c r="G36">
        <f>AVERAGE(Tabelle2[[#This Row],[Niklas]]:Tabelle2[[#This Row],[Eric]])</f>
        <v>22.5</v>
      </c>
    </row>
    <row r="37" spans="1:11" x14ac:dyDescent="0.3">
      <c r="A37" t="s">
        <v>61</v>
      </c>
      <c r="B37" t="s">
        <v>91</v>
      </c>
      <c r="C37">
        <v>6</v>
      </c>
      <c r="D37">
        <v>6</v>
      </c>
      <c r="E37">
        <v>7</v>
      </c>
      <c r="F37">
        <v>8</v>
      </c>
      <c r="G37">
        <f>AVERAGE(Tabelle2[[#This Row],[Niklas]]:Tabelle2[[#This Row],[Eric]])</f>
        <v>6.75</v>
      </c>
    </row>
    <row r="38" spans="1:11" x14ac:dyDescent="0.3">
      <c r="A38" t="s">
        <v>62</v>
      </c>
      <c r="B38" t="s">
        <v>92</v>
      </c>
      <c r="C38">
        <v>7</v>
      </c>
      <c r="D38">
        <v>8</v>
      </c>
      <c r="E38">
        <v>9</v>
      </c>
      <c r="F38">
        <v>9</v>
      </c>
      <c r="G38">
        <f>AVERAGE(Tabelle2[[#This Row],[Niklas]]:Tabelle2[[#This Row],[Eric]])</f>
        <v>8.25</v>
      </c>
    </row>
    <row r="39" spans="1:11" x14ac:dyDescent="0.3">
      <c r="A39" s="2" t="s">
        <v>82</v>
      </c>
      <c r="B39" s="2" t="s">
        <v>93</v>
      </c>
      <c r="C39">
        <v>6</v>
      </c>
      <c r="D39">
        <v>8</v>
      </c>
      <c r="E39">
        <v>7</v>
      </c>
      <c r="F39">
        <v>9</v>
      </c>
      <c r="G39">
        <f>AVERAGE(Tabelle2[[#This Row],[Niklas]]:Tabelle2[[#This Row],[Eric]])</f>
        <v>7.5</v>
      </c>
    </row>
    <row r="40" spans="1:11" x14ac:dyDescent="0.3">
      <c r="A40" s="3" t="s">
        <v>63</v>
      </c>
      <c r="B40" s="3" t="s">
        <v>64</v>
      </c>
      <c r="C40" s="3">
        <f>SUM(C41:C45)</f>
        <v>47</v>
      </c>
      <c r="D40" s="3">
        <f t="shared" ref="D40:G40" si="8">SUM(D41:D45)</f>
        <v>43</v>
      </c>
      <c r="E40" s="3">
        <f t="shared" si="8"/>
        <v>44.5</v>
      </c>
      <c r="F40" s="3">
        <f t="shared" si="8"/>
        <v>33.5</v>
      </c>
      <c r="G40" s="3">
        <f t="shared" si="8"/>
        <v>42</v>
      </c>
      <c r="H40" s="3"/>
      <c r="I40" s="3"/>
      <c r="J40" s="3"/>
      <c r="K40" s="3"/>
    </row>
    <row r="41" spans="1:11" x14ac:dyDescent="0.3">
      <c r="A41" t="s">
        <v>65</v>
      </c>
      <c r="B41" t="s">
        <v>90</v>
      </c>
      <c r="C41">
        <v>4</v>
      </c>
      <c r="D41">
        <v>4</v>
      </c>
      <c r="E41">
        <v>7</v>
      </c>
      <c r="F41">
        <v>5.5</v>
      </c>
      <c r="G41">
        <f>AVERAGE(Tabelle2[[#This Row],[Niklas]]:Tabelle2[[#This Row],[Eric]])</f>
        <v>5.125</v>
      </c>
    </row>
    <row r="42" spans="1:11" x14ac:dyDescent="0.3">
      <c r="A42" t="s">
        <v>66</v>
      </c>
      <c r="B42" t="s">
        <v>89</v>
      </c>
      <c r="C42">
        <v>6</v>
      </c>
      <c r="D42">
        <v>8</v>
      </c>
      <c r="E42">
        <v>6.5</v>
      </c>
      <c r="F42">
        <v>5</v>
      </c>
      <c r="G42">
        <f>AVERAGE(Tabelle2[[#This Row],[Niklas]]:Tabelle2[[#This Row],[Eric]])</f>
        <v>6.375</v>
      </c>
    </row>
    <row r="43" spans="1:11" x14ac:dyDescent="0.3">
      <c r="A43" t="s">
        <v>67</v>
      </c>
      <c r="B43" t="s">
        <v>88</v>
      </c>
      <c r="C43">
        <v>2</v>
      </c>
      <c r="D43">
        <v>1</v>
      </c>
      <c r="E43">
        <v>1</v>
      </c>
      <c r="F43">
        <v>1</v>
      </c>
      <c r="G43">
        <f>AVERAGE(Tabelle2[[#This Row],[Niklas]]:Tabelle2[[#This Row],[Eric]])</f>
        <v>1.25</v>
      </c>
    </row>
    <row r="44" spans="1:11" x14ac:dyDescent="0.3">
      <c r="A44" t="s">
        <v>68</v>
      </c>
      <c r="B44" t="s">
        <v>94</v>
      </c>
      <c r="C44">
        <v>25</v>
      </c>
      <c r="D44">
        <v>20</v>
      </c>
      <c r="E44">
        <v>20</v>
      </c>
      <c r="F44">
        <v>15</v>
      </c>
      <c r="G44">
        <f>AVERAGE(Tabelle2[[#This Row],[Niklas]]:Tabelle2[[#This Row],[Eric]])</f>
        <v>20</v>
      </c>
    </row>
    <row r="45" spans="1:11" x14ac:dyDescent="0.3">
      <c r="A45" t="s">
        <v>84</v>
      </c>
      <c r="B45" t="s">
        <v>83</v>
      </c>
      <c r="C45">
        <v>10</v>
      </c>
      <c r="D45">
        <v>10</v>
      </c>
      <c r="E45">
        <v>10</v>
      </c>
      <c r="F45">
        <v>7</v>
      </c>
      <c r="G45">
        <f>AVERAGE(Tabelle2[[#This Row],[Niklas]]:Tabelle2[[#This Row],[Eric]])</f>
        <v>9.25</v>
      </c>
    </row>
    <row r="46" spans="1:11" x14ac:dyDescent="0.3">
      <c r="A46" s="3" t="s">
        <v>69</v>
      </c>
      <c r="B46" s="3" t="s">
        <v>70</v>
      </c>
      <c r="C46" s="3">
        <f>SUM(C47:C48)</f>
        <v>36</v>
      </c>
      <c r="D46" s="3">
        <f t="shared" ref="D46:G46" si="9">SUM(D47:D48)</f>
        <v>28</v>
      </c>
      <c r="E46" s="3">
        <f t="shared" si="9"/>
        <v>32</v>
      </c>
      <c r="F46" s="3">
        <f t="shared" si="9"/>
        <v>25</v>
      </c>
      <c r="G46" s="3">
        <f t="shared" si="9"/>
        <v>30.25</v>
      </c>
      <c r="H46" s="3"/>
      <c r="I46" s="3"/>
      <c r="J46" s="3"/>
      <c r="K46" s="3"/>
    </row>
    <row r="47" spans="1:11" x14ac:dyDescent="0.3">
      <c r="A47" t="s">
        <v>71</v>
      </c>
      <c r="B47" t="s">
        <v>72</v>
      </c>
      <c r="C47">
        <v>27</v>
      </c>
      <c r="D47">
        <v>20</v>
      </c>
      <c r="E47">
        <v>22</v>
      </c>
      <c r="F47">
        <v>17</v>
      </c>
      <c r="G47">
        <f>AVERAGE(Tabelle2[[#This Row],[Niklas]]:Tabelle2[[#This Row],[Eric]])</f>
        <v>21.5</v>
      </c>
    </row>
    <row r="48" spans="1:11" x14ac:dyDescent="0.3">
      <c r="A48" t="s">
        <v>73</v>
      </c>
      <c r="B48" t="s">
        <v>74</v>
      </c>
      <c r="C48">
        <v>9</v>
      </c>
      <c r="D48">
        <v>8</v>
      </c>
      <c r="E48">
        <v>10</v>
      </c>
      <c r="F48">
        <v>8</v>
      </c>
      <c r="G48">
        <f>AVERAGE(Tabelle2[[#This Row],[Niklas]]:Tabelle2[[#This Row],[Eric]])</f>
        <v>8.75</v>
      </c>
    </row>
    <row r="49" spans="1:11" ht="24" customHeight="1" thickBot="1" x14ac:dyDescent="0.5">
      <c r="A49" s="4"/>
      <c r="B49" s="5" t="s">
        <v>100</v>
      </c>
      <c r="C49" s="6">
        <f>SUM(C46,C40,C25,C19,C15,C9,C2)</f>
        <v>416.5</v>
      </c>
      <c r="D49" s="6">
        <f>SUM(D46,D40,D25,D19,D15,D9,D2)</f>
        <v>465.5</v>
      </c>
      <c r="E49" s="6">
        <f>SUM(E46,E40,E25,E19,E15,E9,E2)</f>
        <v>404</v>
      </c>
      <c r="F49" s="6">
        <f>SUM(F46,F40,F25,F19,F15,F9,F2)</f>
        <v>429</v>
      </c>
      <c r="G49" s="6">
        <f>G46+G40+G25+G19+G15+G9+G2</f>
        <v>428.75</v>
      </c>
      <c r="H49" s="4"/>
      <c r="I49" s="4"/>
      <c r="J49" s="4"/>
      <c r="K49" s="4"/>
    </row>
    <row r="50" spans="1:11" ht="15" thickTop="1" x14ac:dyDescent="0.3"/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>
    <oddHeader>&amp;L&amp;G&amp;CHölzl, Prevedel, Steffelbauer, Raindl&amp;R&amp;D</oddHeader>
    <oddFooter>&amp;L&amp;F&amp;CF&amp;RSeite &amp;P von &amp;N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Aufwandschätzung</vt:lpstr>
      <vt:lpstr>Aufwandschätzung!Druckbereich</vt:lpstr>
      <vt:lpstr>Aufwandschätzung!Drucktitel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H</cp:lastModifiedBy>
  <cp:lastPrinted>2025-11-20T08:47:04Z</cp:lastPrinted>
  <dcterms:created xsi:type="dcterms:W3CDTF">2025-11-14T11:55:10Z</dcterms:created>
  <dcterms:modified xsi:type="dcterms:W3CDTF">2025-11-27T07:22:14Z</dcterms:modified>
</cp:coreProperties>
</file>