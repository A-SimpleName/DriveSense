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L-Perg\3. Klasse\SYP\DriveSense\Dokumentation\Organisation\"/>
    </mc:Choice>
  </mc:AlternateContent>
  <xr:revisionPtr revIDLastSave="0" documentId="13_ncr:1_{27B8D647-E178-4516-853E-98F561725C94}" xr6:coauthVersionLast="47" xr6:coauthVersionMax="47" xr10:uidLastSave="{00000000-0000-0000-0000-000000000000}"/>
  <bookViews>
    <workbookView xWindow="11424" yWindow="0" windowWidth="11712" windowHeight="13776" xr2:uid="{C1BF8EF5-D531-49FE-B7A3-DBCE2C0E8AA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  <c r="B23" i="1"/>
  <c r="B22" i="1"/>
  <c r="B21" i="1"/>
  <c r="B2" i="1"/>
  <c r="B3" i="1"/>
  <c r="B4" i="1"/>
  <c r="B6" i="1"/>
  <c r="L26" i="1"/>
  <c r="L27" i="1"/>
  <c r="L28" i="1"/>
  <c r="L25" i="1"/>
  <c r="L6" i="1"/>
  <c r="L3" i="1"/>
  <c r="L1" i="1"/>
  <c r="L2" i="1"/>
  <c r="B5" i="1" l="1"/>
  <c r="B1" i="1"/>
</calcChain>
</file>

<file path=xl/sharedStrings.xml><?xml version="1.0" encoding="utf-8"?>
<sst xmlns="http://schemas.openxmlformats.org/spreadsheetml/2006/main" count="20" uniqueCount="10">
  <si>
    <t>Datenbank</t>
  </si>
  <si>
    <t>Backend</t>
  </si>
  <si>
    <t>WebApp</t>
  </si>
  <si>
    <t>App</t>
  </si>
  <si>
    <t>Niklas</t>
  </si>
  <si>
    <t>Christof</t>
  </si>
  <si>
    <t>Daniel</t>
  </si>
  <si>
    <t>Eric</t>
  </si>
  <si>
    <t>Organisation</t>
  </si>
  <si>
    <t>Test &amp; Abschluss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</si>
</sst>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Ist-Aufwände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7A-474D-B9AF-736AB92A0B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7A-474D-B9AF-736AB92A0B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39-4CFB-BE19-D7FA5A9EA8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7A-474D-B9AF-736AB92A0B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7A-474D-B9AF-736AB92A0B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7A-474D-B9AF-736AB92A0BB2}"/>
              </c:ext>
            </c:extLst>
          </c:dPt>
          <c:dLbls>
            <c:dLbl>
              <c:idx val="2"/>
              <c:layout>
                <c:manualLayout>
                  <c:x val="-4.6527559055118108E-2"/>
                  <c:y val="-0.1180588363954505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39-4CFB-BE19-D7FA5A9EA8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Tabelle1!$A$1:$A$6</c:f>
              <c:strCache>
                <c:ptCount val="6"/>
                <c:pt idx="0">
                  <c:v>Datenbank</c:v>
                </c:pt>
                <c:pt idx="1">
                  <c:v>Organisation</c:v>
                </c:pt>
                <c:pt idx="2">
                  <c:v>Backend</c:v>
                </c:pt>
                <c:pt idx="3">
                  <c:v>WebApp</c:v>
                </c:pt>
                <c:pt idx="4">
                  <c:v>App</c:v>
                </c:pt>
                <c:pt idx="5">
                  <c:v>Test &amp; Abschluss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12.44</c:v>
                </c:pt>
                <c:pt idx="1">
                  <c:v>130.11000000000001</c:v>
                </c:pt>
                <c:pt idx="2">
                  <c:v>62.030000000000008</c:v>
                </c:pt>
                <c:pt idx="3">
                  <c:v>78.56</c:v>
                </c:pt>
                <c:pt idx="4">
                  <c:v>79.890000000000015</c:v>
                </c:pt>
                <c:pt idx="5">
                  <c:v>33.33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9-4CFB-BE19-D7FA5A9EA8B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Ist-Aufwände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B1-4FFE-AEA4-2109EB4AAE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B1-4FFE-AEA4-2109EB4AAE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B1-4FFE-AEA4-2109EB4AAE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B1-4FFE-AEA4-2109EB4AAE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Tabelle1!$A$20:$A$23</c:f>
              <c:strCache>
                <c:ptCount val="4"/>
                <c:pt idx="0">
                  <c:v>Niklas</c:v>
                </c:pt>
                <c:pt idx="1">
                  <c:v>Christof</c:v>
                </c:pt>
                <c:pt idx="2">
                  <c:v>Daniel</c:v>
                </c:pt>
                <c:pt idx="3">
                  <c:v>Eric</c:v>
                </c:pt>
              </c:strCache>
            </c:strRef>
          </c:cat>
          <c:val>
            <c:numRef>
              <c:f>Tabelle1!$B$20:$B$23</c:f>
              <c:numCache>
                <c:formatCode>General</c:formatCode>
                <c:ptCount val="4"/>
                <c:pt idx="0">
                  <c:v>95.85</c:v>
                </c:pt>
                <c:pt idx="1">
                  <c:v>94.350000000000009</c:v>
                </c:pt>
                <c:pt idx="2">
                  <c:v>79.75</c:v>
                </c:pt>
                <c:pt idx="3">
                  <c:v>126.91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A-4ACE-A661-AA3A873BEC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Soll-</a:t>
            </a:r>
            <a:r>
              <a:rPr lang="de-AT" baseline="0"/>
              <a:t> Aufwände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5-4733-ABC7-98A4930524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5-4733-ABC7-98A4930524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5-4733-ABC7-98A4930524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5-4733-ABC7-98A4930524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25-4733-ABC7-98A4930524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F25-4733-ABC7-98A4930524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Tabelle1!$K$1:$K$6</c:f>
              <c:strCache>
                <c:ptCount val="6"/>
                <c:pt idx="0">
                  <c:v>Datenbank</c:v>
                </c:pt>
                <c:pt idx="1">
                  <c:v>Organisation</c:v>
                </c:pt>
                <c:pt idx="2">
                  <c:v>Backend</c:v>
                </c:pt>
                <c:pt idx="3">
                  <c:v>WebApp</c:v>
                </c:pt>
                <c:pt idx="4">
                  <c:v>App</c:v>
                </c:pt>
                <c:pt idx="5">
                  <c:v>Test &amp; Abschluss</c:v>
                </c:pt>
              </c:strCache>
            </c:strRef>
          </c:cat>
          <c:val>
            <c:numRef>
              <c:f>Tabelle1!$L$1:$L$6</c:f>
              <c:numCache>
                <c:formatCode>General</c:formatCode>
                <c:ptCount val="6"/>
                <c:pt idx="0">
                  <c:v>14.75</c:v>
                </c:pt>
                <c:pt idx="1">
                  <c:v>114.5</c:v>
                </c:pt>
                <c:pt idx="2">
                  <c:v>15.75</c:v>
                </c:pt>
                <c:pt idx="3">
                  <c:v>58.75</c:v>
                </c:pt>
                <c:pt idx="4">
                  <c:v>152.75</c:v>
                </c:pt>
                <c:pt idx="5">
                  <c:v>72.25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2-414B-AF53-2A5C26333B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Soll- Aufwände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BF-451A-9746-BA94C2663A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BF-451A-9746-BA94C2663A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BF-451A-9746-BA94C2663A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BF-451A-9746-BA94C2663A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Tabelle1!$K$25:$K$28</c:f>
              <c:strCache>
                <c:ptCount val="4"/>
                <c:pt idx="0">
                  <c:v>Niklas</c:v>
                </c:pt>
                <c:pt idx="1">
                  <c:v>Christof</c:v>
                </c:pt>
                <c:pt idx="2">
                  <c:v>Daniel</c:v>
                </c:pt>
                <c:pt idx="3">
                  <c:v>Eric</c:v>
                </c:pt>
              </c:strCache>
            </c:strRef>
          </c:cat>
          <c:val>
            <c:numRef>
              <c:f>Tabelle1!$L$25:$L$28</c:f>
              <c:numCache>
                <c:formatCode>0.00</c:formatCode>
                <c:ptCount val="4"/>
                <c:pt idx="0">
                  <c:v>107.1875</c:v>
                </c:pt>
                <c:pt idx="1">
                  <c:v>107.1875</c:v>
                </c:pt>
                <c:pt idx="2">
                  <c:v>107.1875</c:v>
                </c:pt>
                <c:pt idx="3">
                  <c:v>107.1875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5-4AE0-A052-5B5DE713999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8</xdr:col>
      <xdr:colOff>617220</xdr:colOff>
      <xdr:row>15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9F0CE6C-1507-7CCB-B744-DD9D010A6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784860</xdr:colOff>
      <xdr:row>17</xdr:row>
      <xdr:rowOff>156210</xdr:rowOff>
    </xdr:from>
    <xdr:to>
      <xdr:col>8</xdr:col>
      <xdr:colOff>601980</xdr:colOff>
      <xdr:row>32</xdr:row>
      <xdr:rowOff>156210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898E3FD-561B-AB81-CC82-CCA72C01B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53340</xdr:colOff>
      <xdr:row>1</xdr:row>
      <xdr:rowOff>156210</xdr:rowOff>
    </xdr:from>
    <xdr:to>
      <xdr:col>17</xdr:col>
      <xdr:colOff>662940</xdr:colOff>
      <xdr:row>16</xdr:row>
      <xdr:rowOff>156210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12DD2F8-8617-464F-B151-85DE80BC3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22860</xdr:colOff>
      <xdr:row>19</xdr:row>
      <xdr:rowOff>156210</xdr:rowOff>
    </xdr:from>
    <xdr:to>
      <xdr:col>17</xdr:col>
      <xdr:colOff>632460</xdr:colOff>
      <xdr:row>34</xdr:row>
      <xdr:rowOff>156210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D54E3B82-62DF-0FF5-D581-E06E7E913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BAC7-39DC-45BD-8E20-E08EC294FB40}">
  <dimension ref="A1:L28"/>
  <sheetViews>
    <sheetView tabSelected="1" topLeftCell="K4" workbookViewId="0">
      <selection activeCell="L19" sqref="L19"/>
    </sheetView>
  </sheetViews>
  <sheetFormatPr baseColWidth="10" defaultRowHeight="14.4" x14ac:dyDescent="0.3"/>
  <cols>
    <col min="1" max="1" width="14.44140625" bestFit="1" customWidth="1"/>
    <col min="11" max="11" width="14.44140625" bestFit="1" customWidth="1"/>
  </cols>
  <sheetData>
    <row r="1" spans="1:12" x14ac:dyDescent="0.3">
      <c r="A1" t="s">
        <v>0</v>
      </c>
      <c r="B1">
        <f>5.7+5.05+1.69</f>
        <v>12.44</v>
      </c>
      <c r="K1" t="s">
        <v>0</v>
      </c>
      <c r="L1">
        <f>4.5+3.5+6.75</f>
        <v>14.75</v>
      </c>
    </row>
    <row r="2" spans="1:12" x14ac:dyDescent="0.3">
      <c r="A2" t="s">
        <v>8</v>
      </c>
      <c r="B2">
        <f>2.89+7.89+7.12+11.21+3.91+12.45+14.75+11.5+9.74+13.09+10.41+8.59+0.95+3.06+5.64+6.91</f>
        <v>130.11000000000001</v>
      </c>
      <c r="K2" t="s">
        <v>8</v>
      </c>
      <c r="L2">
        <f>33.5+60.75+2.75+2.75+1.5+0.75+6.5+6</f>
        <v>114.5</v>
      </c>
    </row>
    <row r="3" spans="1:12" x14ac:dyDescent="0.3">
      <c r="A3" t="s">
        <v>1</v>
      </c>
      <c r="B3">
        <f>18.2+34.09+2.67+3.67+3.4</f>
        <v>62.030000000000008</v>
      </c>
      <c r="K3" t="s">
        <v>1</v>
      </c>
      <c r="L3">
        <f>8.25+7.5</f>
        <v>15.75</v>
      </c>
    </row>
    <row r="4" spans="1:12" x14ac:dyDescent="0.3">
      <c r="A4" t="s">
        <v>2</v>
      </c>
      <c r="B4">
        <f>1.67+12.25+34.92+6.3+15.17+3.21+5.04</f>
        <v>78.56</v>
      </c>
      <c r="K4" t="s">
        <v>2</v>
      </c>
      <c r="L4">
        <v>58.75</v>
      </c>
    </row>
    <row r="5" spans="1:12" x14ac:dyDescent="0.3">
      <c r="A5" t="s">
        <v>3</v>
      </c>
      <c r="B5">
        <f>4.74+28.23+1.66+25.35+13.97+2+0.9+3.04</f>
        <v>79.890000000000015</v>
      </c>
      <c r="K5" t="s">
        <v>3</v>
      </c>
      <c r="L5">
        <v>152.75</v>
      </c>
    </row>
    <row r="6" spans="1:12" x14ac:dyDescent="0.3">
      <c r="A6" t="s">
        <v>9</v>
      </c>
      <c r="B6">
        <f>21.64+11.69</f>
        <v>33.33</v>
      </c>
      <c r="K6" t="s">
        <v>9</v>
      </c>
      <c r="L6">
        <f>42+30.25</f>
        <v>72.25</v>
      </c>
    </row>
    <row r="20" spans="1:12" x14ac:dyDescent="0.3">
      <c r="A20" t="s">
        <v>4</v>
      </c>
      <c r="B20">
        <f>27.27+9+18+18.5+13+10.08</f>
        <v>95.85</v>
      </c>
    </row>
    <row r="21" spans="1:12" x14ac:dyDescent="0.3">
      <c r="A21" t="s">
        <v>5</v>
      </c>
      <c r="B21">
        <f>33.46+8+18.5+15+12+7.39</f>
        <v>94.350000000000009</v>
      </c>
    </row>
    <row r="22" spans="1:12" x14ac:dyDescent="0.3">
      <c r="A22" t="s">
        <v>6</v>
      </c>
      <c r="B22">
        <f>25.28+8+15+13.5+10.5+7.47</f>
        <v>79.75</v>
      </c>
    </row>
    <row r="23" spans="1:12" x14ac:dyDescent="0.3">
      <c r="A23" t="s">
        <v>7</v>
      </c>
      <c r="B23">
        <f>39.37+8.5+24.5+20+22.5+12.04</f>
        <v>126.91</v>
      </c>
    </row>
    <row r="25" spans="1:12" x14ac:dyDescent="0.3">
      <c r="K25" t="s">
        <v>4</v>
      </c>
      <c r="L25" s="1">
        <f>428.75/4</f>
        <v>107.1875</v>
      </c>
    </row>
    <row r="26" spans="1:12" x14ac:dyDescent="0.3">
      <c r="K26" t="s">
        <v>5</v>
      </c>
      <c r="L26" s="1">
        <f t="shared" ref="L26:L28" si="0">428.75/4</f>
        <v>107.1875</v>
      </c>
    </row>
    <row r="27" spans="1:12" x14ac:dyDescent="0.3">
      <c r="K27" t="s">
        <v>6</v>
      </c>
      <c r="L27" s="1">
        <f t="shared" si="0"/>
        <v>107.1875</v>
      </c>
    </row>
    <row r="28" spans="1:12" x14ac:dyDescent="0.3">
      <c r="K28" t="s">
        <v>7</v>
      </c>
      <c r="L28" s="1">
        <f t="shared" si="0"/>
        <v>107.1875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Raindl</dc:creator>
  <cp:lastModifiedBy>Niklas Raindl</cp:lastModifiedBy>
  <dcterms:created xsi:type="dcterms:W3CDTF">2026-06-24T13:08:26Z</dcterms:created>
  <dcterms:modified xsi:type="dcterms:W3CDTF">2026-06-24T17:56:47Z</dcterms:modified>
</cp:coreProperties>
</file>